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D1A710C-6663-3D7B-7F91-EC182F24A4BC}"/>
  <workbookPr codeName="ThisWorkbook"/>
  <mc:AlternateContent xmlns:mc="http://schemas.openxmlformats.org/markup-compatibility/2006">
    <mc:Choice Requires="x15">
      <x15ac:absPath xmlns:x15ac="http://schemas.microsoft.com/office/spreadsheetml/2010/11/ac" url="C:\Users\Asus\Desktop\Neoma Courses\Fall 2024\Financial Modeling &amp; Valuation\Qingdao M&amp;A Case\"/>
    </mc:Choice>
  </mc:AlternateContent>
  <bookViews>
    <workbookView xWindow="0" yWindow="0" windowWidth="20490" windowHeight="7050" tabRatio="865" activeTab="2"/>
  </bookViews>
  <sheets>
    <sheet name="Contents=&gt;" sheetId="28" r:id="rId1"/>
    <sheet name="1-Cockpit&amp;assumptions" sheetId="26" r:id="rId2"/>
    <sheet name="2-Valuation DCF" sheetId="18" r:id="rId3"/>
    <sheet name="3-Valuation Multiples" sheetId="25" r:id="rId4"/>
    <sheet name="4-Financial Projections" sheetId="27" r:id="rId5"/>
  </sheets>
  <definedNames>
    <definedName name="BuyerDCF">'2-Valuation DCF'!$C$55</definedName>
    <definedName name="CIQWBGuid" hidden="1">"18a34dac-bc58-4dda-8963-4c296da64e0d"</definedName>
    <definedName name="CIQWBInfo" hidden="1">"{ ""CIQVersion"":""9.45.614.5792"" }"</definedName>
    <definedName name="Cockpit1">'1-Cockpit&amp;assumptions'!$C$1</definedName>
    <definedName name="Cockpit2">'1-Cockpit&amp;assumptions'!$C$30</definedName>
    <definedName name="Cockpit3">'1-Cockpit&amp;assumptions'!$C$70</definedName>
    <definedName name="Cockpit4">'1-Cockpit&amp;assumptions'!$C$85</definedName>
    <definedName name="Comment" localSheetId="3">#REF!</definedName>
    <definedName name="Comment">#REF!</definedName>
    <definedName name="Consolidated">'2-Valuation DCF'!$C$176</definedName>
    <definedName name="Constraints">'2-Valuation DCF'!#REF!</definedName>
    <definedName name="CreditorsCostraints">'2-Valuation DCF'!$C$219</definedName>
    <definedName name="FCFE">'2-Valuation DCF'!$C$211</definedName>
    <definedName name="Financing">'2-Valuation DCF'!$C$136</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"06/18/2021 15:56:39"</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Method1">'3-Valuation Multiples'!$C$2</definedName>
    <definedName name="Multiples1">'3-Valuation Multiples'!$C$2</definedName>
    <definedName name="Multiples2">'3-Valuation Multiples'!$C$87</definedName>
    <definedName name="Synergies">'2-Valuation DCF'!$C$101</definedName>
    <definedName name="TargetDCF">'2-Valuation DCF'!$C$2</definedName>
    <definedName name="TargetDCF1">'2-Valuation DCF'!$C$2</definedName>
    <definedName name="waterfall_graph_data1" localSheetId="3">#REF!</definedName>
    <definedName name="waterfall_graph_data1">#REF!</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73" i="18" l="1"/>
  <c r="L155" i="26"/>
  <c r="F177" i="18"/>
  <c r="F222" i="18"/>
  <c r="F244" i="18"/>
  <c r="D19" i="26"/>
  <c r="E19" i="26" s="1"/>
  <c r="E20" i="26" s="1"/>
  <c r="D11" i="26"/>
  <c r="D10" i="26"/>
  <c r="H126" i="18" l="1"/>
  <c r="G126" i="18"/>
  <c r="F126" i="18"/>
  <c r="E119" i="18"/>
  <c r="O119" i="18"/>
  <c r="N119" i="18"/>
  <c r="M119" i="18"/>
  <c r="L119" i="18"/>
  <c r="K119" i="18"/>
  <c r="J119" i="18"/>
  <c r="I119" i="18"/>
  <c r="H119" i="18"/>
  <c r="G119" i="18"/>
  <c r="F119" i="18"/>
  <c r="E50" i="18"/>
  <c r="F50" i="18" s="1"/>
  <c r="E48" i="18"/>
  <c r="F48" i="18" s="1"/>
  <c r="E22" i="18"/>
  <c r="F22" i="18" s="1"/>
  <c r="G22" i="18" s="1"/>
  <c r="H22" i="18" s="1"/>
  <c r="I22" i="18" s="1"/>
  <c r="D21" i="18"/>
  <c r="E21" i="18"/>
  <c r="E18" i="18"/>
  <c r="E19" i="18" s="1"/>
  <c r="E23" i="18" l="1"/>
  <c r="J22" i="18"/>
  <c r="K22" i="18" l="1"/>
  <c r="L22" i="18" l="1"/>
  <c r="M22" i="18" l="1"/>
  <c r="N22" i="18" l="1"/>
  <c r="O22" i="18" l="1"/>
  <c r="D14" i="18" l="1"/>
  <c r="E14" i="18"/>
  <c r="O12" i="18"/>
  <c r="O121" i="18" s="1"/>
  <c r="N12" i="18"/>
  <c r="N121" i="18" s="1"/>
  <c r="M12" i="18"/>
  <c r="M121" i="18" s="1"/>
  <c r="L12" i="18"/>
  <c r="L121" i="18" s="1"/>
  <c r="K12" i="18"/>
  <c r="K121" i="18" s="1"/>
  <c r="J12" i="18"/>
  <c r="J121" i="18" s="1"/>
  <c r="I12" i="18"/>
  <c r="I121" i="18" s="1"/>
  <c r="H12" i="18"/>
  <c r="H121" i="18" s="1"/>
  <c r="G12" i="18"/>
  <c r="G121" i="18" s="1"/>
  <c r="F12" i="18"/>
  <c r="F121" i="18" s="1"/>
  <c r="E12" i="18"/>
  <c r="E10" i="18"/>
  <c r="E13" i="18" s="1"/>
  <c r="E15" i="18" s="1"/>
  <c r="O11" i="18"/>
  <c r="N11" i="18"/>
  <c r="M11" i="18"/>
  <c r="L11" i="18"/>
  <c r="K11" i="18"/>
  <c r="J11" i="18"/>
  <c r="I11" i="18"/>
  <c r="H11" i="18"/>
  <c r="G11" i="18"/>
  <c r="F11" i="18"/>
  <c r="F10" i="18" l="1"/>
  <c r="F120" i="18"/>
  <c r="F122" i="18"/>
  <c r="F21" i="18"/>
  <c r="F23" i="18" s="1"/>
  <c r="G10" i="18"/>
  <c r="F13" i="18"/>
  <c r="F123" i="18" s="1"/>
  <c r="F124" i="18" s="1"/>
  <c r="F14" i="18"/>
  <c r="D231" i="18"/>
  <c r="F232" i="18" s="1"/>
  <c r="F245" i="18" s="1"/>
  <c r="F248" i="18" l="1"/>
  <c r="F246" i="18"/>
  <c r="F127" i="18"/>
  <c r="F129" i="18" s="1"/>
  <c r="G14" i="18"/>
  <c r="G120" i="18"/>
  <c r="G122" i="18" s="1"/>
  <c r="H10" i="18"/>
  <c r="G21" i="18"/>
  <c r="G23" i="18" s="1"/>
  <c r="G13" i="18"/>
  <c r="G15" i="18" s="1"/>
  <c r="F15" i="18"/>
  <c r="F65" i="25"/>
  <c r="F64" i="25"/>
  <c r="F63" i="25"/>
  <c r="H120" i="18" l="1"/>
  <c r="H122" i="18" s="1"/>
  <c r="G123" i="18"/>
  <c r="G124" i="18" s="1"/>
  <c r="I10" i="18"/>
  <c r="H21" i="18"/>
  <c r="H23" i="18" s="1"/>
  <c r="H13" i="18"/>
  <c r="H123" i="18" s="1"/>
  <c r="H124" i="18" s="1"/>
  <c r="H14" i="18"/>
  <c r="F22" i="25"/>
  <c r="F23" i="25"/>
  <c r="F24" i="25"/>
  <c r="F25" i="25"/>
  <c r="F26" i="25"/>
  <c r="F27" i="25"/>
  <c r="F28" i="25"/>
  <c r="E22" i="25"/>
  <c r="E23" i="25"/>
  <c r="E24" i="25"/>
  <c r="E25" i="25"/>
  <c r="E26" i="25"/>
  <c r="E27" i="25"/>
  <c r="E28" i="25"/>
  <c r="D22" i="25"/>
  <c r="D23" i="25"/>
  <c r="D24" i="25"/>
  <c r="D25" i="25"/>
  <c r="D26" i="25"/>
  <c r="D27" i="25"/>
  <c r="D28" i="25"/>
  <c r="E21" i="25"/>
  <c r="F21" i="25"/>
  <c r="D21" i="25"/>
  <c r="G127" i="18" l="1"/>
  <c r="G129" i="18" s="1"/>
  <c r="H127" i="18"/>
  <c r="H129" i="18" s="1"/>
  <c r="I120" i="18"/>
  <c r="I122" i="18" s="1"/>
  <c r="J10" i="18"/>
  <c r="I21" i="18"/>
  <c r="I23" i="18" s="1"/>
  <c r="I13" i="18"/>
  <c r="I123" i="18" s="1"/>
  <c r="I14" i="18"/>
  <c r="H15" i="18"/>
  <c r="F78" i="25"/>
  <c r="F77" i="25"/>
  <c r="F76" i="25"/>
  <c r="I124" i="18" l="1"/>
  <c r="I129" i="18" s="1"/>
  <c r="J120" i="18"/>
  <c r="J122" i="18" s="1"/>
  <c r="I15" i="18"/>
  <c r="K10" i="18"/>
  <c r="J21" i="18"/>
  <c r="J23" i="18" s="1"/>
  <c r="J13" i="18"/>
  <c r="J123" i="18" s="1"/>
  <c r="J124" i="18" s="1"/>
  <c r="J129" i="18" s="1"/>
  <c r="J14" i="18"/>
  <c r="F30" i="25"/>
  <c r="E30" i="25"/>
  <c r="D30" i="25"/>
  <c r="K120" i="18" l="1"/>
  <c r="K122" i="18" s="1"/>
  <c r="L10" i="18"/>
  <c r="K21" i="18"/>
  <c r="K23" i="18" s="1"/>
  <c r="K13" i="18"/>
  <c r="K123" i="18" s="1"/>
  <c r="K14" i="18"/>
  <c r="J15" i="18"/>
  <c r="C42" i="18"/>
  <c r="C43" i="18"/>
  <c r="C40" i="18"/>
  <c r="K124" i="18" l="1"/>
  <c r="K129" i="18" s="1"/>
  <c r="L120" i="18"/>
  <c r="L122" i="18" s="1"/>
  <c r="M10" i="18"/>
  <c r="L21" i="18"/>
  <c r="L23" i="18" s="1"/>
  <c r="L13" i="18"/>
  <c r="L123" i="18" s="1"/>
  <c r="L14" i="18"/>
  <c r="K15" i="18"/>
  <c r="C8" i="27"/>
  <c r="C6" i="27"/>
  <c r="L124" i="18" l="1"/>
  <c r="L129" i="18" s="1"/>
  <c r="M120" i="18"/>
  <c r="M122" i="18" s="1"/>
  <c r="L15" i="18"/>
  <c r="N10" i="18"/>
  <c r="M21" i="18"/>
  <c r="M23" i="18" s="1"/>
  <c r="M13" i="18"/>
  <c r="M123" i="18" s="1"/>
  <c r="M124" i="18" s="1"/>
  <c r="M129" i="18" s="1"/>
  <c r="M14" i="18"/>
  <c r="C17" i="28"/>
  <c r="D9" i="18"/>
  <c r="D26" i="18" s="1"/>
  <c r="N120" i="18" l="1"/>
  <c r="N122" i="18" s="1"/>
  <c r="M15" i="18"/>
  <c r="O10" i="18"/>
  <c r="N21" i="18"/>
  <c r="N23" i="18" s="1"/>
  <c r="N13" i="18"/>
  <c r="N14" i="18"/>
  <c r="H102" i="25"/>
  <c r="H101" i="25"/>
  <c r="N15" i="18" l="1"/>
  <c r="N123" i="18"/>
  <c r="N124" i="18" s="1"/>
  <c r="N129" i="18" s="1"/>
  <c r="O120" i="18"/>
  <c r="O122" i="18" s="1"/>
  <c r="O21" i="18"/>
  <c r="O23" i="18" s="1"/>
  <c r="O13" i="18"/>
  <c r="O123" i="18" s="1"/>
  <c r="O14" i="18"/>
  <c r="H100" i="25"/>
  <c r="O124" i="18" l="1"/>
  <c r="O129" i="18" s="1"/>
  <c r="O15" i="18"/>
  <c r="D106" i="25"/>
  <c r="E106" i="25"/>
  <c r="F106" i="25"/>
  <c r="G106" i="25"/>
  <c r="E86" i="26" l="1"/>
  <c r="E168" i="26" s="1"/>
  <c r="F99" i="25"/>
  <c r="G99" i="25"/>
  <c r="F100" i="25"/>
  <c r="G100" i="25"/>
  <c r="F101" i="25"/>
  <c r="G101" i="25"/>
  <c r="F102" i="25"/>
  <c r="G102" i="25"/>
  <c r="F103" i="25"/>
  <c r="G103" i="25"/>
  <c r="F104" i="25"/>
  <c r="G104" i="25"/>
  <c r="F105" i="25"/>
  <c r="G105" i="25"/>
  <c r="E100" i="25"/>
  <c r="E101" i="25"/>
  <c r="E102" i="25"/>
  <c r="E103" i="25"/>
  <c r="E104" i="25"/>
  <c r="E105" i="25"/>
  <c r="D104" i="25"/>
  <c r="D105" i="25"/>
  <c r="D103" i="25"/>
  <c r="D102" i="25"/>
  <c r="D100" i="25"/>
  <c r="D101" i="25"/>
  <c r="G109" i="25" l="1"/>
  <c r="F109" i="25"/>
  <c r="C208" i="26"/>
  <c r="C194" i="26"/>
  <c r="C50" i="26"/>
  <c r="C47" i="26"/>
  <c r="C48" i="26"/>
  <c r="C49" i="26"/>
  <c r="C46" i="26"/>
  <c r="F107" i="25"/>
  <c r="G107" i="25"/>
  <c r="E107" i="25"/>
  <c r="D99" i="25"/>
  <c r="F108" i="25"/>
  <c r="G108" i="25"/>
  <c r="E108" i="25"/>
  <c r="E99" i="25"/>
  <c r="E109" i="25" s="1"/>
  <c r="F98" i="25" l="1"/>
  <c r="G98" i="25"/>
  <c r="E98" i="25"/>
  <c r="C77" i="25"/>
  <c r="C42" i="26" s="1"/>
  <c r="C78" i="25"/>
  <c r="C43" i="26" s="1"/>
  <c r="C76" i="25"/>
  <c r="C41" i="26" s="1"/>
  <c r="J57" i="27"/>
  <c r="J61" i="27" s="1"/>
  <c r="J65" i="27" s="1"/>
  <c r="J54" i="27"/>
  <c r="J53" i="27"/>
  <c r="J50" i="27"/>
  <c r="J58" i="27" l="1"/>
  <c r="J62" i="27" s="1"/>
  <c r="J66" i="27" s="1"/>
  <c r="E178" i="18" l="1"/>
  <c r="F178" i="18" s="1"/>
  <c r="E148" i="18"/>
  <c r="F148" i="18" s="1"/>
  <c r="D142" i="26" l="1"/>
  <c r="D145" i="26"/>
  <c r="E73" i="18"/>
  <c r="E93" i="18"/>
  <c r="E153" i="18" s="1"/>
  <c r="E58" i="18"/>
  <c r="F58" i="18" s="1"/>
  <c r="E72" i="18"/>
  <c r="D106" i="26"/>
  <c r="C22" i="27"/>
  <c r="C21" i="27"/>
  <c r="C18" i="27"/>
  <c r="C16" i="27"/>
  <c r="E145" i="26"/>
  <c r="E142" i="26"/>
  <c r="D18" i="27"/>
  <c r="D16" i="27"/>
  <c r="D22" i="27"/>
  <c r="D21" i="27"/>
  <c r="F152" i="18" l="1"/>
  <c r="G152" i="18" s="1"/>
  <c r="H152" i="18" s="1"/>
  <c r="I152" i="18" s="1"/>
  <c r="J152" i="18" s="1"/>
  <c r="K152" i="18" s="1"/>
  <c r="L152" i="18" s="1"/>
  <c r="M152" i="18" s="1"/>
  <c r="N152" i="18" s="1"/>
  <c r="O152" i="18" s="1"/>
  <c r="F151" i="18"/>
  <c r="C10" i="27"/>
  <c r="E106" i="26"/>
  <c r="D103" i="26"/>
  <c r="E103" i="26"/>
  <c r="F153" i="18" l="1"/>
  <c r="G151" i="18" s="1"/>
  <c r="G153" i="18" s="1"/>
  <c r="H151" i="18" s="1"/>
  <c r="H153" i="18" s="1"/>
  <c r="I151" i="18" s="1"/>
  <c r="I153" i="18" s="1"/>
  <c r="J151" i="18" s="1"/>
  <c r="J153" i="18" s="1"/>
  <c r="K151" i="18" s="1"/>
  <c r="K153" i="18" s="1"/>
  <c r="L151" i="18" s="1"/>
  <c r="L153" i="18" s="1"/>
  <c r="M151" i="18" s="1"/>
  <c r="M153" i="18" s="1"/>
  <c r="N151" i="18" s="1"/>
  <c r="N153" i="18" s="1"/>
  <c r="O151" i="18" s="1"/>
  <c r="O153" i="18" s="1"/>
  <c r="G20" i="25"/>
  <c r="D133" i="26"/>
  <c r="D135" i="26" s="1"/>
  <c r="D136" i="26" s="1"/>
  <c r="E133" i="26"/>
  <c r="E135" i="26" s="1"/>
  <c r="E149" i="26"/>
  <c r="C7" i="27" s="1"/>
  <c r="C9" i="27" s="1"/>
  <c r="C11" i="27" s="1"/>
  <c r="C12" i="27" s="1"/>
  <c r="C13" i="27" s="1"/>
  <c r="E110" i="26"/>
  <c r="E109" i="26"/>
  <c r="F109" i="26" s="1"/>
  <c r="G109" i="26" s="1"/>
  <c r="H109" i="26" s="1"/>
  <c r="I109" i="26" s="1"/>
  <c r="J109" i="26" s="1"/>
  <c r="K109" i="26" s="1"/>
  <c r="L109" i="26" s="1"/>
  <c r="M109" i="26" s="1"/>
  <c r="N109" i="26" s="1"/>
  <c r="O109" i="26" s="1"/>
  <c r="D94" i="26"/>
  <c r="D96" i="26" s="1"/>
  <c r="E94" i="26"/>
  <c r="D97" i="26" l="1"/>
  <c r="D98" i="26" s="1"/>
  <c r="E136" i="26"/>
  <c r="E137" i="26" s="1"/>
  <c r="E96" i="26"/>
  <c r="E97" i="26" s="1"/>
  <c r="H105" i="25"/>
  <c r="H104" i="25"/>
  <c r="H103" i="25"/>
  <c r="D137" i="26"/>
  <c r="B55" i="18"/>
  <c r="E98" i="26" l="1"/>
  <c r="H106" i="25" s="1"/>
  <c r="B30" i="26"/>
  <c r="B70" i="26" s="1"/>
  <c r="B85" i="26" s="1"/>
  <c r="D183" i="26" l="1"/>
  <c r="D184" i="26" s="1"/>
  <c r="D185" i="26" s="1"/>
  <c r="D186" i="26" s="1"/>
  <c r="D187" i="26" s="1"/>
  <c r="D188" i="26" s="1"/>
  <c r="D189" i="26" s="1"/>
  <c r="E97" i="18" l="1"/>
  <c r="E95" i="18"/>
  <c r="L42" i="27" l="1"/>
  <c r="M42" i="27"/>
  <c r="N42" i="27"/>
  <c r="O42" i="27"/>
  <c r="P42" i="27"/>
  <c r="Q42" i="27"/>
  <c r="R42" i="27"/>
  <c r="K42" i="27"/>
  <c r="B101" i="18"/>
  <c r="B136" i="18" s="1"/>
  <c r="B176" i="18" s="1"/>
  <c r="B211" i="18" s="1"/>
  <c r="B219" i="18" s="1"/>
  <c r="F10" i="27" l="1"/>
  <c r="E88" i="26"/>
  <c r="D88" i="26" l="1"/>
  <c r="D127" i="26" s="1"/>
  <c r="E127" i="26"/>
  <c r="E147" i="26" s="1"/>
  <c r="F147" i="26" s="1"/>
  <c r="G147" i="26" s="1"/>
  <c r="H147" i="26" s="1"/>
  <c r="I147" i="26" s="1"/>
  <c r="J147" i="26" s="1"/>
  <c r="K147" i="26" s="1"/>
  <c r="L147" i="26" s="1"/>
  <c r="M147" i="26" s="1"/>
  <c r="N147" i="26" s="1"/>
  <c r="O147" i="26" s="1"/>
  <c r="C3" i="27"/>
  <c r="J3" i="27"/>
  <c r="K3" i="27" s="1"/>
  <c r="L3" i="27" s="1"/>
  <c r="M3" i="27" s="1"/>
  <c r="N3" i="27" s="1"/>
  <c r="O3" i="27" s="1"/>
  <c r="P3" i="27" s="1"/>
  <c r="Q3" i="27" s="1"/>
  <c r="R3" i="27" s="1"/>
  <c r="I6" i="27"/>
  <c r="I7" i="27"/>
  <c r="I8" i="27"/>
  <c r="I9" i="27"/>
  <c r="I10" i="27"/>
  <c r="I11" i="27"/>
  <c r="I12" i="27"/>
  <c r="I13" i="27"/>
  <c r="E15" i="27"/>
  <c r="I17" i="27"/>
  <c r="F19" i="27"/>
  <c r="I21" i="27"/>
  <c r="I26" i="27"/>
  <c r="D20" i="25"/>
  <c r="E20" i="25"/>
  <c r="F20" i="25"/>
  <c r="C21" i="25"/>
  <c r="C22" i="25"/>
  <c r="C23" i="25"/>
  <c r="C24" i="25"/>
  <c r="C25" i="25"/>
  <c r="C26" i="25"/>
  <c r="C27" i="25"/>
  <c r="C28" i="25"/>
  <c r="D39" i="25"/>
  <c r="E39" i="25"/>
  <c r="F39" i="25"/>
  <c r="D40" i="25"/>
  <c r="E40" i="25"/>
  <c r="F40" i="25"/>
  <c r="D41" i="25"/>
  <c r="E41" i="25"/>
  <c r="F41" i="25"/>
  <c r="E116" i="25"/>
  <c r="F116" i="25"/>
  <c r="G116" i="25"/>
  <c r="F3" i="18"/>
  <c r="G3" i="18" s="1"/>
  <c r="H3" i="18" s="1"/>
  <c r="E4" i="18"/>
  <c r="D7" i="18"/>
  <c r="D8" i="18"/>
  <c r="D16" i="18"/>
  <c r="D17" i="18"/>
  <c r="F18" i="18" s="1"/>
  <c r="F57" i="18"/>
  <c r="G57" i="18" s="1"/>
  <c r="H57" i="18" s="1"/>
  <c r="I57" i="18" s="1"/>
  <c r="J57" i="18" s="1"/>
  <c r="K57" i="18" s="1"/>
  <c r="L57" i="18" s="1"/>
  <c r="M57" i="18" s="1"/>
  <c r="N57" i="18" s="1"/>
  <c r="O57" i="18" s="1"/>
  <c r="G58" i="18"/>
  <c r="H58" i="18" s="1"/>
  <c r="I58" i="18" s="1"/>
  <c r="J58" i="18" s="1"/>
  <c r="K58" i="18" s="1"/>
  <c r="L58" i="18" s="1"/>
  <c r="M58" i="18" s="1"/>
  <c r="N58" i="18" s="1"/>
  <c r="O58" i="18" s="1"/>
  <c r="D61" i="18"/>
  <c r="D62" i="18"/>
  <c r="E63" i="18"/>
  <c r="F64" i="18"/>
  <c r="G64" i="18"/>
  <c r="H64" i="18"/>
  <c r="I64" i="18"/>
  <c r="J64" i="18"/>
  <c r="K64" i="18"/>
  <c r="L64" i="18"/>
  <c r="M64" i="18"/>
  <c r="N64" i="18"/>
  <c r="O64" i="18"/>
  <c r="E65" i="18"/>
  <c r="F65" i="18"/>
  <c r="G65" i="18"/>
  <c r="H65" i="18"/>
  <c r="I65" i="18"/>
  <c r="J65" i="18"/>
  <c r="K65" i="18"/>
  <c r="L65" i="18"/>
  <c r="M65" i="18"/>
  <c r="N65" i="18"/>
  <c r="O65" i="18"/>
  <c r="E67" i="18"/>
  <c r="D69" i="18"/>
  <c r="C71" i="18"/>
  <c r="D71" i="18"/>
  <c r="F71" i="18" s="1"/>
  <c r="C72" i="18"/>
  <c r="C73" i="18"/>
  <c r="E75" i="18"/>
  <c r="F75" i="18" s="1"/>
  <c r="G75" i="18" s="1"/>
  <c r="H75" i="18" s="1"/>
  <c r="I75" i="18" s="1"/>
  <c r="J75" i="18" s="1"/>
  <c r="E76" i="18"/>
  <c r="F76" i="18" s="1"/>
  <c r="G76" i="18" s="1"/>
  <c r="Q82" i="18"/>
  <c r="S82" i="18"/>
  <c r="D134" i="18" l="1"/>
  <c r="F198" i="18"/>
  <c r="F199" i="18" s="1"/>
  <c r="D186" i="18"/>
  <c r="D130" i="18"/>
  <c r="F34" i="18"/>
  <c r="G34" i="18"/>
  <c r="E34" i="18"/>
  <c r="E27" i="18"/>
  <c r="F19" i="18"/>
  <c r="G18" i="18"/>
  <c r="E16" i="18"/>
  <c r="E20" i="18" s="1"/>
  <c r="E25" i="18" s="1"/>
  <c r="F16" i="18"/>
  <c r="G16" i="18"/>
  <c r="H16" i="18"/>
  <c r="I16" i="18"/>
  <c r="J16" i="18"/>
  <c r="K16" i="18"/>
  <c r="L16" i="18"/>
  <c r="M16" i="18"/>
  <c r="N16" i="18"/>
  <c r="O16" i="18"/>
  <c r="H107" i="25"/>
  <c r="H34" i="18"/>
  <c r="F4" i="18"/>
  <c r="G4" i="18" s="1"/>
  <c r="H4" i="18" s="1"/>
  <c r="I4" i="18" s="1"/>
  <c r="J4" i="18" s="1"/>
  <c r="K4" i="18" s="1"/>
  <c r="L4" i="18" s="1"/>
  <c r="M4" i="18" s="1"/>
  <c r="N4" i="18" s="1"/>
  <c r="O4" i="18" s="1"/>
  <c r="O27" i="18" s="1"/>
  <c r="F6" i="27"/>
  <c r="J6" i="27" s="1"/>
  <c r="F67" i="18"/>
  <c r="F8" i="27"/>
  <c r="D20" i="27"/>
  <c r="D3" i="27"/>
  <c r="E3" i="27" s="1"/>
  <c r="F3" i="27" s="1"/>
  <c r="M67" i="18"/>
  <c r="F34" i="25"/>
  <c r="D23" i="27"/>
  <c r="J10" i="27"/>
  <c r="F18" i="27"/>
  <c r="C20" i="27"/>
  <c r="F72" i="18"/>
  <c r="F73" i="18" s="1"/>
  <c r="F33" i="25"/>
  <c r="D34" i="25"/>
  <c r="D33" i="25"/>
  <c r="E66" i="18"/>
  <c r="F63" i="18"/>
  <c r="G63" i="18" s="1"/>
  <c r="G66" i="18" s="1"/>
  <c r="O71" i="18"/>
  <c r="N71" i="18"/>
  <c r="O67" i="18"/>
  <c r="K71" i="18"/>
  <c r="N67" i="18"/>
  <c r="J71" i="18"/>
  <c r="I71" i="18"/>
  <c r="G67" i="18"/>
  <c r="H71" i="18"/>
  <c r="I3" i="18"/>
  <c r="I34" i="18" s="1"/>
  <c r="J19" i="27"/>
  <c r="E77" i="18"/>
  <c r="M71" i="18"/>
  <c r="L71" i="18"/>
  <c r="H76" i="18"/>
  <c r="G77" i="18"/>
  <c r="F16" i="27"/>
  <c r="E33" i="25"/>
  <c r="E34" i="25"/>
  <c r="C23" i="27"/>
  <c r="F77" i="18"/>
  <c r="K75" i="18"/>
  <c r="J8" i="27"/>
  <c r="G41" i="25"/>
  <c r="H67" i="18"/>
  <c r="I67" i="18"/>
  <c r="J67" i="18"/>
  <c r="K67" i="18"/>
  <c r="L67" i="18"/>
  <c r="G71" i="18"/>
  <c r="E85" i="18"/>
  <c r="F85" i="18"/>
  <c r="G85" i="18"/>
  <c r="H85" i="18"/>
  <c r="I85" i="18"/>
  <c r="J85" i="18"/>
  <c r="K85" i="18"/>
  <c r="L85" i="18"/>
  <c r="M85" i="18"/>
  <c r="N85" i="18"/>
  <c r="O85" i="18"/>
  <c r="F117" i="18"/>
  <c r="G117" i="18" s="1"/>
  <c r="H117" i="18" s="1"/>
  <c r="E118" i="18"/>
  <c r="F118" i="18" s="1"/>
  <c r="G118" i="18" s="1"/>
  <c r="H118" i="18" s="1"/>
  <c r="I118" i="18" s="1"/>
  <c r="J118" i="18" s="1"/>
  <c r="K118" i="18" s="1"/>
  <c r="L118" i="18" s="1"/>
  <c r="M118" i="18" s="1"/>
  <c r="N118" i="18" s="1"/>
  <c r="O118" i="18" s="1"/>
  <c r="C126" i="18"/>
  <c r="D132" i="18"/>
  <c r="D142" i="18"/>
  <c r="F147" i="18"/>
  <c r="G147" i="18" s="1"/>
  <c r="H147" i="18" s="1"/>
  <c r="I147" i="18" s="1"/>
  <c r="J147" i="18" s="1"/>
  <c r="K147" i="18" s="1"/>
  <c r="L147" i="18" s="1"/>
  <c r="M147" i="18" s="1"/>
  <c r="N147" i="18" s="1"/>
  <c r="O147" i="18" s="1"/>
  <c r="G148" i="18"/>
  <c r="H148" i="18" s="1"/>
  <c r="I148" i="18" s="1"/>
  <c r="J148" i="18" s="1"/>
  <c r="K148" i="18" s="1"/>
  <c r="L148" i="18" s="1"/>
  <c r="M148" i="18" s="1"/>
  <c r="N148" i="18" s="1"/>
  <c r="O148" i="18" s="1"/>
  <c r="D155" i="18"/>
  <c r="G177" i="18"/>
  <c r="G198" i="18" s="1"/>
  <c r="G178" i="18"/>
  <c r="H178" i="18" s="1"/>
  <c r="I178" i="18" s="1"/>
  <c r="J178" i="18" s="1"/>
  <c r="K178" i="18" s="1"/>
  <c r="L178" i="18" s="1"/>
  <c r="M178" i="18" s="1"/>
  <c r="N178" i="18" s="1"/>
  <c r="O178" i="18" s="1"/>
  <c r="E198" i="18"/>
  <c r="E223" i="18"/>
  <c r="D235" i="18"/>
  <c r="D239" i="18"/>
  <c r="D20" i="26"/>
  <c r="D21" i="26" s="1"/>
  <c r="F168" i="26"/>
  <c r="G168" i="26" s="1"/>
  <c r="H168" i="26" s="1"/>
  <c r="I168" i="26" s="1"/>
  <c r="J168" i="26" s="1"/>
  <c r="K168" i="26" s="1"/>
  <c r="L168" i="26" s="1"/>
  <c r="M168" i="26" s="1"/>
  <c r="N168" i="26" s="1"/>
  <c r="O168" i="26" s="1"/>
  <c r="C5" i="28"/>
  <c r="C6" i="28"/>
  <c r="C7" i="28"/>
  <c r="C8" i="28"/>
  <c r="C11" i="28"/>
  <c r="C12" i="28"/>
  <c r="C13" i="28"/>
  <c r="C14" i="28"/>
  <c r="C15" i="28"/>
  <c r="C16" i="28"/>
  <c r="C20" i="28"/>
  <c r="C21" i="28"/>
  <c r="M155" i="18" l="1"/>
  <c r="I155" i="18"/>
  <c r="F155" i="18"/>
  <c r="L155" i="18"/>
  <c r="H155" i="18"/>
  <c r="N155" i="18"/>
  <c r="J155" i="18"/>
  <c r="O155" i="18"/>
  <c r="K155" i="18"/>
  <c r="G155" i="18"/>
  <c r="D143" i="18"/>
  <c r="D144" i="18" s="1"/>
  <c r="F20" i="18"/>
  <c r="F25" i="18" s="1"/>
  <c r="E131" i="18"/>
  <c r="E132" i="18" s="1"/>
  <c r="G27" i="18"/>
  <c r="N27" i="18"/>
  <c r="F130" i="18"/>
  <c r="I130" i="18"/>
  <c r="G130" i="18"/>
  <c r="H130" i="18"/>
  <c r="J130" i="18"/>
  <c r="L130" i="18"/>
  <c r="K130" i="18"/>
  <c r="M130" i="18"/>
  <c r="O130" i="18"/>
  <c r="N130" i="18"/>
  <c r="J27" i="18"/>
  <c r="F27" i="18"/>
  <c r="M27" i="18"/>
  <c r="H27" i="18"/>
  <c r="E28" i="18"/>
  <c r="I27" i="18"/>
  <c r="K27" i="18"/>
  <c r="L27" i="18"/>
  <c r="H18" i="18"/>
  <c r="G19" i="18"/>
  <c r="G20" i="18" s="1"/>
  <c r="G25" i="18" s="1"/>
  <c r="C25" i="27"/>
  <c r="D25" i="27"/>
  <c r="J7" i="27"/>
  <c r="J9" i="27" s="1"/>
  <c r="J11" i="27" s="1"/>
  <c r="J3" i="18"/>
  <c r="G72" i="18"/>
  <c r="H72" i="18" s="1"/>
  <c r="H63" i="18"/>
  <c r="H66" i="18" s="1"/>
  <c r="K19" i="27"/>
  <c r="G68" i="18"/>
  <c r="G70" i="18" s="1"/>
  <c r="E68" i="18"/>
  <c r="E70" i="18" s="1"/>
  <c r="E74" i="18" s="1"/>
  <c r="E79" i="18" s="1"/>
  <c r="F66" i="18"/>
  <c r="F131" i="18"/>
  <c r="G131" i="18"/>
  <c r="I117" i="18"/>
  <c r="H131" i="18"/>
  <c r="H177" i="18"/>
  <c r="L75" i="18"/>
  <c r="I76" i="18"/>
  <c r="H77" i="18"/>
  <c r="J17" i="27"/>
  <c r="G28" i="18" l="1"/>
  <c r="F28" i="18"/>
  <c r="H19" i="18"/>
  <c r="H20" i="18" s="1"/>
  <c r="H25" i="18" s="1"/>
  <c r="H28" i="18" s="1"/>
  <c r="I18" i="18"/>
  <c r="K31" i="27"/>
  <c r="F68" i="18"/>
  <c r="F70" i="18" s="1"/>
  <c r="F74" i="18" s="1"/>
  <c r="F79" i="18" s="1"/>
  <c r="F81" i="18" s="1"/>
  <c r="K6" i="27"/>
  <c r="K8" i="27"/>
  <c r="K3" i="18"/>
  <c r="K34" i="18" s="1"/>
  <c r="J34" i="18"/>
  <c r="F7" i="27"/>
  <c r="G73" i="18"/>
  <c r="G74" i="18" s="1"/>
  <c r="G79" i="18" s="1"/>
  <c r="I63" i="18"/>
  <c r="I66" i="18" s="1"/>
  <c r="L19" i="27"/>
  <c r="M19" i="27"/>
  <c r="E81" i="18"/>
  <c r="E86" i="18"/>
  <c r="M75" i="18"/>
  <c r="J76" i="18"/>
  <c r="I77" i="18"/>
  <c r="I72" i="18"/>
  <c r="H73" i="18"/>
  <c r="I177" i="18"/>
  <c r="H198" i="18"/>
  <c r="G33" i="25"/>
  <c r="H68" i="18"/>
  <c r="H70" i="18" s="1"/>
  <c r="J13" i="27"/>
  <c r="K41" i="27" s="1"/>
  <c r="J117" i="18"/>
  <c r="J131" i="18" s="1"/>
  <c r="I131" i="18"/>
  <c r="I19" i="18" l="1"/>
  <c r="I20" i="18" s="1"/>
  <c r="I25" i="18" s="1"/>
  <c r="I28" i="18" s="1"/>
  <c r="J18" i="18"/>
  <c r="K43" i="27"/>
  <c r="K61" i="27"/>
  <c r="L3" i="18"/>
  <c r="L34" i="18" s="1"/>
  <c r="K17" i="27"/>
  <c r="M31" i="27"/>
  <c r="L6" i="27"/>
  <c r="L7" i="27"/>
  <c r="L46" i="27" s="1"/>
  <c r="L8" i="27"/>
  <c r="L31" i="27"/>
  <c r="M8" i="27"/>
  <c r="H74" i="18"/>
  <c r="H79" i="18" s="1"/>
  <c r="H86" i="18" s="1"/>
  <c r="E35" i="18"/>
  <c r="J63" i="18"/>
  <c r="K63" i="18" s="1"/>
  <c r="F86" i="18"/>
  <c r="N19" i="27"/>
  <c r="G132" i="18"/>
  <c r="F132" i="18"/>
  <c r="G34" i="25"/>
  <c r="G81" i="18"/>
  <c r="G86" i="18"/>
  <c r="N75" i="18"/>
  <c r="K117" i="18"/>
  <c r="K76" i="18"/>
  <c r="J77" i="18"/>
  <c r="J72" i="18"/>
  <c r="I73" i="18"/>
  <c r="J177" i="18"/>
  <c r="I198" i="18"/>
  <c r="I68" i="18"/>
  <c r="K18" i="18" l="1"/>
  <c r="J19" i="18"/>
  <c r="J20" i="18" s="1"/>
  <c r="J25" i="18" s="1"/>
  <c r="J28" i="18" s="1"/>
  <c r="M3" i="18"/>
  <c r="M34" i="18" s="1"/>
  <c r="H132" i="18"/>
  <c r="F35" i="18"/>
  <c r="F40" i="18"/>
  <c r="F42" i="18" s="1"/>
  <c r="M6" i="27"/>
  <c r="K7" i="27"/>
  <c r="L17" i="27"/>
  <c r="M17" i="27" s="1"/>
  <c r="N31" i="27"/>
  <c r="L9" i="27"/>
  <c r="L57" i="27" s="1"/>
  <c r="J66" i="18"/>
  <c r="F9" i="27"/>
  <c r="H81" i="18"/>
  <c r="I70" i="18"/>
  <c r="I74" i="18" s="1"/>
  <c r="I79" i="18" s="1"/>
  <c r="K72" i="18"/>
  <c r="J73" i="18"/>
  <c r="O75" i="18"/>
  <c r="L76" i="18"/>
  <c r="K77" i="18"/>
  <c r="K131" i="18"/>
  <c r="L117" i="18"/>
  <c r="L63" i="18"/>
  <c r="K66" i="18"/>
  <c r="H108" i="25"/>
  <c r="K177" i="18"/>
  <c r="J198" i="18"/>
  <c r="L18" i="18" l="1"/>
  <c r="K19" i="18"/>
  <c r="K20" i="18" s="1"/>
  <c r="K25" i="18" s="1"/>
  <c r="N3" i="18"/>
  <c r="N34" i="18" s="1"/>
  <c r="K9" i="27"/>
  <c r="K57" i="27" s="1"/>
  <c r="K46" i="27"/>
  <c r="O6" i="27"/>
  <c r="N6" i="27"/>
  <c r="P8" i="27"/>
  <c r="H35" i="18"/>
  <c r="I132" i="18"/>
  <c r="J132" i="18"/>
  <c r="N8" i="27"/>
  <c r="N17" i="27" s="1"/>
  <c r="J68" i="18"/>
  <c r="J70" i="18" s="1"/>
  <c r="J74" i="18" s="1"/>
  <c r="J79" i="18" s="1"/>
  <c r="F12" i="27"/>
  <c r="F11" i="27"/>
  <c r="P19" i="27"/>
  <c r="O19" i="27"/>
  <c r="L72" i="18"/>
  <c r="K73" i="18"/>
  <c r="L131" i="18"/>
  <c r="M117" i="18"/>
  <c r="K68" i="18"/>
  <c r="O3" i="18"/>
  <c r="O34" i="18" s="1"/>
  <c r="K198" i="18"/>
  <c r="L177" i="18"/>
  <c r="L66" i="18"/>
  <c r="M63" i="18"/>
  <c r="E244" i="18"/>
  <c r="M76" i="18"/>
  <c r="L77" i="18"/>
  <c r="K28" i="18" l="1"/>
  <c r="K40" i="18"/>
  <c r="K42" i="18" s="1"/>
  <c r="M18" i="18"/>
  <c r="L19" i="18"/>
  <c r="L20" i="18" s="1"/>
  <c r="L25" i="18" s="1"/>
  <c r="L28" i="18" s="1"/>
  <c r="O8" i="27"/>
  <c r="O31" i="27"/>
  <c r="M7" i="27"/>
  <c r="P31" i="27"/>
  <c r="H40" i="18"/>
  <c r="H42" i="18" s="1"/>
  <c r="O7" i="27"/>
  <c r="J35" i="18"/>
  <c r="J40" i="18"/>
  <c r="J42" i="18" s="1"/>
  <c r="I35" i="18"/>
  <c r="I40" i="18"/>
  <c r="I42" i="18" s="1"/>
  <c r="G40" i="18"/>
  <c r="G42" i="18" s="1"/>
  <c r="F13" i="27"/>
  <c r="K65" i="27"/>
  <c r="Q19" i="27"/>
  <c r="N76" i="18"/>
  <c r="M77" i="18"/>
  <c r="M66" i="18"/>
  <c r="N63" i="18"/>
  <c r="K70" i="18"/>
  <c r="K74" i="18" s="1"/>
  <c r="K79" i="18" s="1"/>
  <c r="L68" i="18"/>
  <c r="M177" i="18"/>
  <c r="L198" i="18"/>
  <c r="M72" i="18"/>
  <c r="L73" i="18"/>
  <c r="N117" i="18"/>
  <c r="M131" i="18"/>
  <c r="N18" i="18" l="1"/>
  <c r="M19" i="18"/>
  <c r="M20" i="18" s="1"/>
  <c r="M25" i="18" s="1"/>
  <c r="M28" i="18" s="1"/>
  <c r="O17" i="27"/>
  <c r="P17" i="27" s="1"/>
  <c r="O9" i="27"/>
  <c r="O57" i="27" s="1"/>
  <c r="O46" i="27"/>
  <c r="M9" i="27"/>
  <c r="M57" i="27" s="1"/>
  <c r="M46" i="27"/>
  <c r="P6" i="27"/>
  <c r="Q8" i="27"/>
  <c r="K132" i="18"/>
  <c r="Q6" i="27"/>
  <c r="L132" i="18"/>
  <c r="N7" i="27"/>
  <c r="H244" i="18"/>
  <c r="M65" i="27"/>
  <c r="G244" i="18"/>
  <c r="G232" i="18"/>
  <c r="G245" i="18" s="1"/>
  <c r="L66" i="27" s="1"/>
  <c r="G199" i="18"/>
  <c r="G35" i="18"/>
  <c r="L65" i="27"/>
  <c r="K66" i="27"/>
  <c r="H199" i="18"/>
  <c r="H232" i="18"/>
  <c r="H245" i="18" s="1"/>
  <c r="M66" i="27" s="1"/>
  <c r="N65" i="27"/>
  <c r="R19" i="27"/>
  <c r="M198" i="18"/>
  <c r="N177" i="18"/>
  <c r="L70" i="18"/>
  <c r="L74" i="18" s="1"/>
  <c r="L79" i="18" s="1"/>
  <c r="O76" i="18"/>
  <c r="O77" i="18" s="1"/>
  <c r="N77" i="18"/>
  <c r="M73" i="18"/>
  <c r="N72" i="18"/>
  <c r="O117" i="18"/>
  <c r="O131" i="18" s="1"/>
  <c r="N131" i="18"/>
  <c r="I81" i="18"/>
  <c r="I86" i="18"/>
  <c r="N66" i="18"/>
  <c r="O63" i="18"/>
  <c r="M68" i="18"/>
  <c r="O18" i="18" l="1"/>
  <c r="O19" i="18" s="1"/>
  <c r="O20" i="18" s="1"/>
  <c r="O25" i="18" s="1"/>
  <c r="N19" i="18"/>
  <c r="N20" i="18" s="1"/>
  <c r="N25" i="18" s="1"/>
  <c r="N28" i="18" s="1"/>
  <c r="L35" i="18"/>
  <c r="N9" i="27"/>
  <c r="N57" i="27" s="1"/>
  <c r="N46" i="27"/>
  <c r="R8" i="27"/>
  <c r="M132" i="18"/>
  <c r="Q31" i="27"/>
  <c r="Q17" i="27" s="1"/>
  <c r="H248" i="18"/>
  <c r="G246" i="18"/>
  <c r="G248" i="18"/>
  <c r="I244" i="18"/>
  <c r="I199" i="18"/>
  <c r="I232" i="18"/>
  <c r="I245" i="18" s="1"/>
  <c r="N66" i="27" s="1"/>
  <c r="H246" i="18"/>
  <c r="J81" i="18"/>
  <c r="J86" i="18"/>
  <c r="O66" i="18"/>
  <c r="N68" i="18"/>
  <c r="N198" i="18"/>
  <c r="O177" i="18"/>
  <c r="O198" i="18" s="1"/>
  <c r="M70" i="18"/>
  <c r="M74" i="18" s="1"/>
  <c r="M79" i="18" s="1"/>
  <c r="N73" i="18"/>
  <c r="O72" i="18"/>
  <c r="O73" i="18" s="1"/>
  <c r="O26" i="18" l="1"/>
  <c r="O28" i="18" s="1"/>
  <c r="E29" i="18" s="1"/>
  <c r="F49" i="18" s="1"/>
  <c r="O35" i="18"/>
  <c r="P26" i="18"/>
  <c r="E30" i="18" s="1"/>
  <c r="E49" i="18" s="1"/>
  <c r="G11" i="26" s="1"/>
  <c r="P65" i="27"/>
  <c r="R6" i="27"/>
  <c r="R31" i="27"/>
  <c r="R17" i="27" s="1"/>
  <c r="N132" i="18"/>
  <c r="Q7" i="27"/>
  <c r="P7" i="27"/>
  <c r="K35" i="18"/>
  <c r="L40" i="18"/>
  <c r="L42" i="18" s="1"/>
  <c r="J199" i="18"/>
  <c r="O65" i="27"/>
  <c r="I246" i="18"/>
  <c r="J244" i="18"/>
  <c r="J232" i="18"/>
  <c r="J245" i="18" s="1"/>
  <c r="O66" i="27" s="1"/>
  <c r="I248" i="18"/>
  <c r="N70" i="18"/>
  <c r="N74" i="18" s="1"/>
  <c r="N79" i="18" s="1"/>
  <c r="K81" i="18"/>
  <c r="K86" i="18"/>
  <c r="O68" i="18"/>
  <c r="O40" i="18" l="1"/>
  <c r="P9" i="27"/>
  <c r="P57" i="27" s="1"/>
  <c r="P46" i="27"/>
  <c r="Q9" i="27"/>
  <c r="Q57" i="27" s="1"/>
  <c r="Q46" i="27"/>
  <c r="R7" i="27"/>
  <c r="O132" i="18"/>
  <c r="E133" i="18" s="1"/>
  <c r="G10" i="26" s="1"/>
  <c r="M35" i="18"/>
  <c r="M40" i="18"/>
  <c r="M42" i="18" s="1"/>
  <c r="K199" i="18"/>
  <c r="K232" i="18"/>
  <c r="K245" i="18" s="1"/>
  <c r="P66" i="27" s="1"/>
  <c r="J248" i="18"/>
  <c r="K244" i="18"/>
  <c r="J246" i="18"/>
  <c r="L81" i="18"/>
  <c r="L86" i="18"/>
  <c r="R82" i="18"/>
  <c r="O70" i="18"/>
  <c r="O74" i="18" s="1"/>
  <c r="O79" i="18" s="1"/>
  <c r="O41" i="18" l="1"/>
  <c r="E41" i="18" s="1"/>
  <c r="F47" i="18" s="1"/>
  <c r="F46" i="18" s="1"/>
  <c r="R9" i="27"/>
  <c r="R57" i="27" s="1"/>
  <c r="R46" i="27"/>
  <c r="N35" i="18"/>
  <c r="N40" i="18"/>
  <c r="N42" i="18" s="1"/>
  <c r="L199" i="18"/>
  <c r="Q65" i="27"/>
  <c r="K246" i="18"/>
  <c r="L244" i="18"/>
  <c r="L232" i="18"/>
  <c r="L245" i="18" s="1"/>
  <c r="Q66" i="27" s="1"/>
  <c r="R65" i="27"/>
  <c r="M81" i="18"/>
  <c r="M86" i="18"/>
  <c r="K248" i="18"/>
  <c r="O42" i="18" l="1"/>
  <c r="E43" i="18" s="1"/>
  <c r="O36" i="18"/>
  <c r="L246" i="18"/>
  <c r="M244" i="18"/>
  <c r="M232" i="18"/>
  <c r="M245" i="18" s="1"/>
  <c r="R66" i="27" s="1"/>
  <c r="M199" i="18"/>
  <c r="L248" i="18"/>
  <c r="N81" i="18"/>
  <c r="N86" i="18"/>
  <c r="E37" i="18" l="1"/>
  <c r="E47" i="18" s="1"/>
  <c r="E46" i="18" s="1"/>
  <c r="D138" i="18"/>
  <c r="N199" i="18"/>
  <c r="M246" i="18"/>
  <c r="N244" i="18"/>
  <c r="N232" i="18"/>
  <c r="N245" i="18" s="1"/>
  <c r="E53" i="18"/>
  <c r="M248" i="18"/>
  <c r="R81" i="18"/>
  <c r="O80" i="18" s="1"/>
  <c r="O81" i="18" s="1"/>
  <c r="E82" i="18" s="1"/>
  <c r="E94" i="18" s="1"/>
  <c r="O86" i="18"/>
  <c r="O87" i="18"/>
  <c r="E87" i="18" s="1"/>
  <c r="E142" i="18" l="1"/>
  <c r="E160" i="18" s="1"/>
  <c r="F53" i="18"/>
  <c r="O199" i="18"/>
  <c r="E200" i="18" s="1"/>
  <c r="N246" i="18"/>
  <c r="O244" i="18"/>
  <c r="O201" i="18"/>
  <c r="E201" i="18" s="1"/>
  <c r="O232" i="18"/>
  <c r="O245" i="18" s="1"/>
  <c r="E96" i="18"/>
  <c r="E98" i="18" s="1"/>
  <c r="E89" i="18"/>
  <c r="N248" i="18"/>
  <c r="E143" i="18" l="1"/>
  <c r="E167" i="18"/>
  <c r="F158" i="18"/>
  <c r="O248" i="18"/>
  <c r="E202" i="18"/>
  <c r="E205" i="18" s="1"/>
  <c r="E233" i="18"/>
  <c r="E92" i="18"/>
  <c r="E91" i="18"/>
  <c r="O246" i="18"/>
  <c r="E144" i="18" l="1"/>
  <c r="I143" i="18"/>
  <c r="L156" i="26" s="1"/>
  <c r="L157" i="26" s="1"/>
  <c r="F157" i="26" s="1"/>
  <c r="F162" i="18"/>
  <c r="F169" i="18" s="1"/>
  <c r="F159" i="18"/>
  <c r="F165" i="18"/>
  <c r="G157" i="26"/>
  <c r="D234" i="18"/>
  <c r="D252" i="18" s="1"/>
  <c r="D253" i="18" s="1"/>
  <c r="D254" i="18" s="1"/>
  <c r="E248" i="18" s="1"/>
  <c r="D249" i="18" s="1"/>
  <c r="F238" i="18"/>
  <c r="E204" i="18"/>
  <c r="I157" i="26" l="1"/>
  <c r="F160" i="18"/>
  <c r="G158" i="18" s="1"/>
  <c r="G159" i="18"/>
  <c r="F166" i="18"/>
  <c r="F167" i="18" s="1"/>
  <c r="G165" i="18" s="1"/>
  <c r="F239" i="18"/>
  <c r="F240" i="18" s="1"/>
  <c r="F241" i="18" s="1"/>
  <c r="G238" i="18" s="1"/>
  <c r="G239" i="18" s="1"/>
  <c r="G240" i="18" s="1"/>
  <c r="G241" i="18" s="1"/>
  <c r="H238" i="18" s="1"/>
  <c r="E22" i="27"/>
  <c r="F22" i="27" s="1"/>
  <c r="J24" i="27" s="1"/>
  <c r="E21" i="27"/>
  <c r="K32" i="27" l="1"/>
  <c r="F171" i="18"/>
  <c r="G162" i="18"/>
  <c r="G169" i="18" s="1"/>
  <c r="G160" i="18"/>
  <c r="H158" i="18" s="1"/>
  <c r="G166" i="18"/>
  <c r="G171" i="18" s="1"/>
  <c r="G173" i="18" s="1"/>
  <c r="H159" i="18"/>
  <c r="K24" i="27"/>
  <c r="E17" i="27"/>
  <c r="F17" i="27" s="1"/>
  <c r="J18" i="27" s="1"/>
  <c r="J20" i="27" s="1"/>
  <c r="F21" i="27"/>
  <c r="J21" i="27" s="1"/>
  <c r="J26" i="27" s="1"/>
  <c r="G222" i="18"/>
  <c r="E21" i="26"/>
  <c r="H239" i="18"/>
  <c r="H240" i="18" s="1"/>
  <c r="H241" i="18" s="1"/>
  <c r="I238" i="18" s="1"/>
  <c r="F223" i="18" l="1"/>
  <c r="L32" i="27"/>
  <c r="I159" i="18"/>
  <c r="H166" i="18"/>
  <c r="M32" i="27" s="1"/>
  <c r="H162" i="18"/>
  <c r="H169" i="18" s="1"/>
  <c r="H160" i="18"/>
  <c r="I158" i="18" s="1"/>
  <c r="G167" i="18"/>
  <c r="H165" i="18" s="1"/>
  <c r="L24" i="27"/>
  <c r="F20" i="27"/>
  <c r="K18" i="27"/>
  <c r="L18" i="27" s="1"/>
  <c r="J22" i="27"/>
  <c r="F23" i="27"/>
  <c r="J37" i="27"/>
  <c r="I239" i="18"/>
  <c r="I240" i="18" s="1"/>
  <c r="I241" i="18" s="1"/>
  <c r="J238" i="18" s="1"/>
  <c r="H167" i="18" l="1"/>
  <c r="I165" i="18" s="1"/>
  <c r="J159" i="18"/>
  <c r="I166" i="18"/>
  <c r="N32" i="27" s="1"/>
  <c r="I162" i="18"/>
  <c r="I169" i="18" s="1"/>
  <c r="I160" i="18"/>
  <c r="J158" i="18" s="1"/>
  <c r="H171" i="18"/>
  <c r="H173" i="18" s="1"/>
  <c r="M24" i="27"/>
  <c r="K10" i="27"/>
  <c r="K50" i="27" s="1"/>
  <c r="F25" i="27"/>
  <c r="K20" i="27"/>
  <c r="K58" i="27" s="1"/>
  <c r="K59" i="27" s="1"/>
  <c r="L22" i="27"/>
  <c r="K22" i="27"/>
  <c r="L10" i="27"/>
  <c r="L50" i="27" s="1"/>
  <c r="G223" i="18"/>
  <c r="M18" i="27"/>
  <c r="L20" i="27"/>
  <c r="L58" i="27" s="1"/>
  <c r="L59" i="27" s="1"/>
  <c r="J239" i="18"/>
  <c r="J240" i="18" s="1"/>
  <c r="J241" i="18" s="1"/>
  <c r="K238" i="18" s="1"/>
  <c r="H222" i="18"/>
  <c r="I171" i="18" l="1"/>
  <c r="I173" i="18" s="1"/>
  <c r="I167" i="18"/>
  <c r="J165" i="18" s="1"/>
  <c r="K159" i="18"/>
  <c r="J166" i="18"/>
  <c r="J160" i="18"/>
  <c r="K158" i="18" s="1"/>
  <c r="J162" i="18"/>
  <c r="J169" i="18" s="1"/>
  <c r="K49" i="27"/>
  <c r="K51" i="27" s="1"/>
  <c r="K11" i="27"/>
  <c r="K12" i="27" s="1"/>
  <c r="K13" i="27" s="1"/>
  <c r="K30" i="27" s="1"/>
  <c r="K33" i="27" s="1"/>
  <c r="K35" i="27" s="1"/>
  <c r="L34" i="27" s="1"/>
  <c r="N24" i="27"/>
  <c r="L11" i="27"/>
  <c r="L12" i="27" s="1"/>
  <c r="L13" i="27" s="1"/>
  <c r="L49" i="27"/>
  <c r="L51" i="27" s="1"/>
  <c r="K239" i="18"/>
  <c r="K240" i="18" s="1"/>
  <c r="K241" i="18" s="1"/>
  <c r="L238" i="18" s="1"/>
  <c r="N18" i="27"/>
  <c r="M20" i="27"/>
  <c r="M58" i="27" s="1"/>
  <c r="M59" i="27" s="1"/>
  <c r="J167" i="18" l="1"/>
  <c r="K165" i="18" s="1"/>
  <c r="O32" i="27"/>
  <c r="L159" i="18"/>
  <c r="K166" i="18"/>
  <c r="J171" i="18"/>
  <c r="J173" i="18" s="1"/>
  <c r="K160" i="18"/>
  <c r="L158" i="18" s="1"/>
  <c r="K162" i="18"/>
  <c r="K169" i="18" s="1"/>
  <c r="K25" i="27"/>
  <c r="K54" i="27" s="1"/>
  <c r="L41" i="27"/>
  <c r="L61" i="27" s="1"/>
  <c r="K23" i="27"/>
  <c r="K21" i="27" s="1"/>
  <c r="K45" i="27" s="1"/>
  <c r="K53" i="27" s="1"/>
  <c r="L30" i="27"/>
  <c r="L33" i="27" s="1"/>
  <c r="L35" i="27" s="1"/>
  <c r="M34" i="27" s="1"/>
  <c r="M41" i="27"/>
  <c r="O24" i="27"/>
  <c r="M10" i="27"/>
  <c r="K67" i="27"/>
  <c r="H223" i="18"/>
  <c r="O18" i="27"/>
  <c r="N20" i="27"/>
  <c r="N58" i="27" s="1"/>
  <c r="N59" i="27" s="1"/>
  <c r="M22" i="27"/>
  <c r="L239" i="18"/>
  <c r="L240" i="18" s="1"/>
  <c r="L241" i="18" s="1"/>
  <c r="M238" i="18" s="1"/>
  <c r="I222" i="18"/>
  <c r="K171" i="18" l="1"/>
  <c r="K173" i="18" s="1"/>
  <c r="L160" i="18"/>
  <c r="M158" i="18" s="1"/>
  <c r="L162" i="18"/>
  <c r="L169" i="18" s="1"/>
  <c r="K167" i="18"/>
  <c r="L165" i="18" s="1"/>
  <c r="P32" i="27"/>
  <c r="M159" i="18"/>
  <c r="L166" i="18"/>
  <c r="L43" i="27"/>
  <c r="K62" i="27"/>
  <c r="K63" i="27" s="1"/>
  <c r="L25" i="27"/>
  <c r="L62" i="27" s="1"/>
  <c r="L63" i="27" s="1"/>
  <c r="K55" i="27"/>
  <c r="K47" i="27"/>
  <c r="K26" i="27"/>
  <c r="K37" i="27" s="1"/>
  <c r="L23" i="27"/>
  <c r="L21" i="27" s="1"/>
  <c r="L45" i="27" s="1"/>
  <c r="L53" i="27" s="1"/>
  <c r="M43" i="27"/>
  <c r="M61" i="27"/>
  <c r="M11" i="27"/>
  <c r="M12" i="27" s="1"/>
  <c r="M13" i="27" s="1"/>
  <c r="M30" i="27" s="1"/>
  <c r="M33" i="27" s="1"/>
  <c r="M35" i="27" s="1"/>
  <c r="M50" i="27"/>
  <c r="P24" i="27"/>
  <c r="M49" i="27"/>
  <c r="N10" i="27"/>
  <c r="N50" i="27" s="1"/>
  <c r="L67" i="27"/>
  <c r="M239" i="18"/>
  <c r="M240" i="18" s="1"/>
  <c r="M241" i="18" s="1"/>
  <c r="N238" i="18" s="1"/>
  <c r="P18" i="27"/>
  <c r="O20" i="27"/>
  <c r="O58" i="27" s="1"/>
  <c r="O59" i="27" s="1"/>
  <c r="L171" i="18" l="1"/>
  <c r="L173" i="18" s="1"/>
  <c r="M160" i="18"/>
  <c r="N158" i="18" s="1"/>
  <c r="M162" i="18"/>
  <c r="M169" i="18" s="1"/>
  <c r="L167" i="18"/>
  <c r="M165" i="18" s="1"/>
  <c r="Q32" i="27"/>
  <c r="M166" i="18"/>
  <c r="N159" i="18"/>
  <c r="L54" i="27"/>
  <c r="L55" i="27" s="1"/>
  <c r="L47" i="27"/>
  <c r="L26" i="27"/>
  <c r="L37" i="27" s="1"/>
  <c r="I223" i="18"/>
  <c r="M51" i="27"/>
  <c r="Q24" i="27"/>
  <c r="M25" i="27"/>
  <c r="N41" i="27"/>
  <c r="N11" i="27"/>
  <c r="N12" i="27" s="1"/>
  <c r="N49" i="27"/>
  <c r="N51" i="27" s="1"/>
  <c r="N22" i="27"/>
  <c r="N34" i="27"/>
  <c r="M23" i="27"/>
  <c r="M21" i="27" s="1"/>
  <c r="M45" i="27" s="1"/>
  <c r="N239" i="18"/>
  <c r="N240" i="18" s="1"/>
  <c r="N241" i="18" s="1"/>
  <c r="O238" i="18" s="1"/>
  <c r="J222" i="18"/>
  <c r="Q18" i="27"/>
  <c r="P20" i="27"/>
  <c r="P58" i="27" s="1"/>
  <c r="P59" i="27" s="1"/>
  <c r="M171" i="18" l="1"/>
  <c r="M173" i="18" s="1"/>
  <c r="M167" i="18"/>
  <c r="N165" i="18" s="1"/>
  <c r="R32" i="27"/>
  <c r="N160" i="18"/>
  <c r="O158" i="18" s="1"/>
  <c r="N162" i="18"/>
  <c r="N169" i="18" s="1"/>
  <c r="O159" i="18"/>
  <c r="O166" i="18" s="1"/>
  <c r="N166" i="18"/>
  <c r="N43" i="27"/>
  <c r="N61" i="27"/>
  <c r="M54" i="27"/>
  <c r="M62" i="27"/>
  <c r="M63" i="27" s="1"/>
  <c r="M53" i="27"/>
  <c r="M47" i="27"/>
  <c r="R24" i="27"/>
  <c r="N13" i="27"/>
  <c r="M26" i="27"/>
  <c r="M37" i="27" s="1"/>
  <c r="M67" i="27"/>
  <c r="O239" i="18"/>
  <c r="O240" i="18" s="1"/>
  <c r="O241" i="18" s="1"/>
  <c r="R18" i="27"/>
  <c r="R20" i="27" s="1"/>
  <c r="R58" i="27" s="1"/>
  <c r="R59" i="27" s="1"/>
  <c r="Q20" i="27"/>
  <c r="Q58" i="27" s="1"/>
  <c r="Q59" i="27" s="1"/>
  <c r="N167" i="18" l="1"/>
  <c r="O165" i="18" s="1"/>
  <c r="O167" i="18" s="1"/>
  <c r="N171" i="18"/>
  <c r="N173" i="18" s="1"/>
  <c r="O160" i="18"/>
  <c r="O162" i="18"/>
  <c r="O169" i="18" s="1"/>
  <c r="O171" i="18" s="1"/>
  <c r="O173" i="18" s="1"/>
  <c r="M55" i="27"/>
  <c r="N30" i="27"/>
  <c r="N33" i="27" s="1"/>
  <c r="N35" i="27" s="1"/>
  <c r="O34" i="27" s="1"/>
  <c r="O41" i="27"/>
  <c r="O10" i="27"/>
  <c r="N25" i="27"/>
  <c r="J223" i="18"/>
  <c r="O22" i="27"/>
  <c r="K222" i="18"/>
  <c r="N54" i="27" l="1"/>
  <c r="N62" i="27"/>
  <c r="N63" i="27" s="1"/>
  <c r="O43" i="27"/>
  <c r="O61" i="27"/>
  <c r="N23" i="27"/>
  <c r="N21" i="27" s="1"/>
  <c r="N45" i="27" s="1"/>
  <c r="O11" i="27"/>
  <c r="O12" i="27" s="1"/>
  <c r="O50" i="27"/>
  <c r="O49" i="27"/>
  <c r="P10" i="27"/>
  <c r="P50" i="27" s="1"/>
  <c r="O13" i="27" l="1"/>
  <c r="O30" i="27" s="1"/>
  <c r="O33" i="27" s="1"/>
  <c r="O35" i="27" s="1"/>
  <c r="P34" i="27" s="1"/>
  <c r="N26" i="27"/>
  <c r="N37" i="27" s="1"/>
  <c r="O51" i="27"/>
  <c r="N47" i="27"/>
  <c r="N53" i="27"/>
  <c r="N55" i="27" s="1"/>
  <c r="N67" i="27"/>
  <c r="K223" i="18"/>
  <c r="P11" i="27"/>
  <c r="P12" i="27" s="1"/>
  <c r="P49" i="27"/>
  <c r="P51" i="27" s="1"/>
  <c r="P22" i="27"/>
  <c r="L222" i="18"/>
  <c r="O25" i="27" l="1"/>
  <c r="O54" i="27" s="1"/>
  <c r="P41" i="27"/>
  <c r="P61" i="27" s="1"/>
  <c r="O23" i="27"/>
  <c r="O21" i="27" s="1"/>
  <c r="O45" i="27" s="1"/>
  <c r="O47" i="27" s="1"/>
  <c r="P13" i="27"/>
  <c r="O67" i="27"/>
  <c r="O62" i="27" l="1"/>
  <c r="O63" i="27" s="1"/>
  <c r="P43" i="27"/>
  <c r="O26" i="27"/>
  <c r="O37" i="27" s="1"/>
  <c r="O53" i="27"/>
  <c r="O55" i="27" s="1"/>
  <c r="P30" i="27"/>
  <c r="P33" i="27" s="1"/>
  <c r="P35" i="27" s="1"/>
  <c r="P23" i="27" s="1"/>
  <c r="P21" i="27" s="1"/>
  <c r="P45" i="27" s="1"/>
  <c r="Q41" i="27"/>
  <c r="Q10" i="27"/>
  <c r="P25" i="27"/>
  <c r="L223" i="18"/>
  <c r="Q22" i="27"/>
  <c r="M222" i="18"/>
  <c r="P54" i="27" l="1"/>
  <c r="P62" i="27"/>
  <c r="P63" i="27" s="1"/>
  <c r="Q43" i="27"/>
  <c r="Q61" i="27"/>
  <c r="P53" i="27"/>
  <c r="P47" i="27"/>
  <c r="Q34" i="27"/>
  <c r="Q11" i="27"/>
  <c r="Q12" i="27" s="1"/>
  <c r="Q50" i="27"/>
  <c r="Q49" i="27"/>
  <c r="P26" i="27"/>
  <c r="P37" i="27" s="1"/>
  <c r="P67" i="27"/>
  <c r="R10" i="27"/>
  <c r="R50" i="27" s="1"/>
  <c r="P55" i="27" l="1"/>
  <c r="Q51" i="27"/>
  <c r="Q13" i="27"/>
  <c r="Q25" i="27" s="1"/>
  <c r="R11" i="27"/>
  <c r="R12" i="27" s="1"/>
  <c r="R13" i="27" s="1"/>
  <c r="R49" i="27"/>
  <c r="R51" i="27" s="1"/>
  <c r="M223" i="18"/>
  <c r="R22" i="27"/>
  <c r="N222" i="18"/>
  <c r="Q54" i="27" l="1"/>
  <c r="Q62" i="27"/>
  <c r="Q63" i="27" s="1"/>
  <c r="Q30" i="27"/>
  <c r="Q33" i="27" s="1"/>
  <c r="Q35" i="27" s="1"/>
  <c r="R41" i="27"/>
  <c r="R30" i="27"/>
  <c r="R33" i="27" s="1"/>
  <c r="R25" i="27"/>
  <c r="R54" i="27" l="1"/>
  <c r="R62" i="27"/>
  <c r="R43" i="27"/>
  <c r="R61" i="27"/>
  <c r="Q23" i="27"/>
  <c r="Q21" i="27" s="1"/>
  <c r="R34" i="27"/>
  <c r="R35" i="27" s="1"/>
  <c r="R23" i="27" s="1"/>
  <c r="R21" i="27" s="1"/>
  <c r="N223" i="18"/>
  <c r="O222" i="18"/>
  <c r="R63" i="27" l="1"/>
  <c r="R67" i="27"/>
  <c r="R45" i="27"/>
  <c r="R26" i="27"/>
  <c r="R37" i="27" s="1"/>
  <c r="Q45" i="27"/>
  <c r="Q26" i="27"/>
  <c r="Q37" i="27" s="1"/>
  <c r="Q67" i="27"/>
  <c r="R47" i="27" l="1"/>
  <c r="R53" i="27"/>
  <c r="R55" i="27" s="1"/>
  <c r="Q47" i="27"/>
  <c r="Q53" i="27"/>
  <c r="Q55" i="27" s="1"/>
  <c r="O223" i="18"/>
  <c r="D224" i="18" l="1"/>
</calcChain>
</file>

<file path=xl/comments1.xml><?xml version="1.0" encoding="utf-8"?>
<comments xmlns="http://schemas.openxmlformats.org/spreadsheetml/2006/main">
  <authors>
    <author>布鲁诺 Bruno Bensaid</author>
  </authors>
  <commentList>
    <comment ref="E123" authorId="0" shapeId="0">
      <text>
        <r>
          <rPr>
            <sz val="9"/>
            <color indexed="81"/>
            <rFont val="Tahoma"/>
            <family val="2"/>
          </rPr>
          <t>Shares were recently purchased by a family member at this price. If we cannot know the share price (it is a private co) we use the most recent transaction</t>
        </r>
      </text>
    </comment>
  </commentList>
</comments>
</file>

<file path=xl/comments2.xml><?xml version="1.0" encoding="utf-8"?>
<comments xmlns="http://schemas.openxmlformats.org/spreadsheetml/2006/main">
  <authors>
    <author>NEOMA-BS</author>
    <author>布鲁诺 Bruno Bensaid</author>
    <author>patrick</author>
  </authors>
  <commentList>
    <comment ref="D16" authorId="0" shapeId="0">
      <text>
        <r>
          <rPr>
            <b/>
            <sz val="9"/>
            <color indexed="81"/>
            <rFont val="Tahoma"/>
            <family val="2"/>
          </rPr>
          <t>NEOMA-BS:</t>
        </r>
        <r>
          <rPr>
            <sz val="9"/>
            <color indexed="81"/>
            <rFont val="Tahoma"/>
            <family val="2"/>
          </rPr>
          <t xml:space="preserve">
Tax rate</t>
        </r>
      </text>
    </comment>
    <comment ref="E49" authorId="1" shapeId="0">
      <text>
        <r>
          <rPr>
            <b/>
            <sz val="9"/>
            <color indexed="81"/>
            <rFont val="Tahoma"/>
            <family val="2"/>
          </rPr>
          <t>using perpetuity growth formula</t>
        </r>
      </text>
    </comment>
    <comment ref="F49" authorId="1" shapeId="0">
      <text>
        <r>
          <rPr>
            <b/>
            <sz val="9"/>
            <color indexed="81"/>
            <rFont val="Tahoma"/>
            <family val="2"/>
          </rPr>
          <t>using multiple for TV</t>
        </r>
      </text>
    </comment>
    <comment ref="D69" authorId="0" shapeId="0">
      <text>
        <r>
          <rPr>
            <b/>
            <sz val="9"/>
            <color indexed="81"/>
            <rFont val="Tahoma"/>
            <family val="2"/>
          </rPr>
          <t>NEOMA-BS:</t>
        </r>
        <r>
          <rPr>
            <sz val="9"/>
            <color indexed="81"/>
            <rFont val="Tahoma"/>
            <family val="2"/>
          </rPr>
          <t xml:space="preserve">
Tax rate</t>
        </r>
      </text>
    </comment>
    <comment ref="D130" authorId="0" shapeId="0">
      <text>
        <r>
          <rPr>
            <b/>
            <sz val="9"/>
            <color indexed="81"/>
            <rFont val="Tahoma"/>
            <family val="2"/>
          </rPr>
          <t>NEOMA-BS:</t>
        </r>
        <r>
          <rPr>
            <sz val="9"/>
            <color indexed="81"/>
            <rFont val="Tahoma"/>
            <family val="2"/>
          </rPr>
          <t xml:space="preserve">
Tax rate (buyer)</t>
        </r>
      </text>
    </comment>
    <comment ref="I143" authorId="2" shapeId="0">
      <text>
        <r>
          <rPr>
            <b/>
            <sz val="9"/>
            <color indexed="81"/>
            <rFont val="Tahoma"/>
            <family val="2"/>
          </rPr>
          <t>Number of shares to create to fund the acquisition</t>
        </r>
        <r>
          <rPr>
            <sz val="9"/>
            <color indexed="81"/>
            <rFont val="Tahoma"/>
            <family val="2"/>
          </rPr>
          <t xml:space="preserve">
</t>
        </r>
      </text>
    </comment>
    <comment ref="O192" authorId="0" shapeId="0">
      <text>
        <r>
          <rPr>
            <b/>
            <sz val="9"/>
            <color indexed="81"/>
            <rFont val="Tahoma"/>
            <family val="2"/>
          </rPr>
          <t>NEOMA-BS:</t>
        </r>
        <r>
          <rPr>
            <sz val="9"/>
            <color indexed="81"/>
            <rFont val="Tahoma"/>
            <family val="2"/>
          </rPr>
          <t xml:space="preserve">
Use buyer's WACC and sustainable long-term growth rate</t>
        </r>
      </text>
    </comment>
  </commentList>
</comments>
</file>

<file path=xl/comments3.xml><?xml version="1.0" encoding="utf-8"?>
<comments xmlns="http://schemas.openxmlformats.org/spreadsheetml/2006/main">
  <authors>
    <author>Utilisateur</author>
  </authors>
  <commentList>
    <comment ref="C42" authorId="0" shapeId="0">
      <text>
        <r>
          <rPr>
            <sz val="9"/>
            <color indexed="81"/>
            <rFont val="Tahoma"/>
            <family val="2"/>
          </rPr>
          <t>P/E: how many years of earnings is in my stock price -moneyness of the stock (is the stock cheap or expensive vs others)</t>
        </r>
      </text>
    </comment>
    <comment ref="C43" authorId="0" shapeId="0">
      <text>
        <r>
          <rPr>
            <sz val="9"/>
            <color indexed="81"/>
            <rFont val="Tahoma"/>
            <family val="2"/>
          </rPr>
          <t>How many years of EBITDA represents my Value</t>
        </r>
      </text>
    </comment>
    <comment ref="C46" authorId="0" shapeId="0">
      <text>
        <r>
          <rPr>
            <b/>
            <sz val="9"/>
            <color indexed="81"/>
            <rFont val="Tahoma"/>
            <family val="2"/>
          </rPr>
          <t>Contrast Stock Price to Book value per share (the higher the better)</t>
        </r>
      </text>
    </comment>
    <comment ref="C47" authorId="0" shapeId="0">
      <text>
        <r>
          <rPr>
            <b/>
            <sz val="9"/>
            <color indexed="81"/>
            <rFont val="Tahoma"/>
            <family val="2"/>
          </rPr>
          <t xml:space="preserve"> number of years of sales in my stock price</t>
        </r>
        <r>
          <rPr>
            <sz val="9"/>
            <color indexed="81"/>
            <rFont val="Tahoma"/>
            <family val="2"/>
          </rPr>
          <t xml:space="preserve">
</t>
        </r>
      </text>
    </comment>
  </commentList>
</comments>
</file>

<file path=xl/comments4.xml><?xml version="1.0" encoding="utf-8"?>
<comments xmlns="http://schemas.openxmlformats.org/spreadsheetml/2006/main">
  <authors>
    <author>Maria Ruiz</author>
    <author>Maria Ruiz Garcia</author>
  </authors>
  <commentList>
    <comment ref="D16" authorId="0" shapeId="0">
      <text>
        <r>
          <rPr>
            <sz val="9"/>
            <color indexed="81"/>
            <rFont val="Tahoma"/>
            <family val="2"/>
          </rPr>
          <t xml:space="preserve">Fixed assets of the TargetCo are taken at fair value
</t>
        </r>
      </text>
    </comment>
    <comment ref="D22" authorId="0" shapeId="0">
      <text>
        <r>
          <rPr>
            <sz val="9"/>
            <color indexed="81"/>
            <rFont val="Tahoma"/>
            <family val="2"/>
          </rPr>
          <t>Shareholder's equity should be adjusted to include Fixed Assets at Fair Value
Shareholder's Equity is thus called NAV : Adjusted Net Asset Value</t>
        </r>
      </text>
    </comment>
    <comment ref="F22" authorId="1" shapeId="0">
      <text>
        <r>
          <rPr>
            <b/>
            <sz val="9"/>
            <color indexed="81"/>
            <rFont val="Tahoma"/>
            <family val="2"/>
          </rPr>
          <t>Maria Ruiz Garcia:</t>
        </r>
        <r>
          <rPr>
            <sz val="9"/>
            <color indexed="81"/>
            <rFont val="Tahoma"/>
            <family val="2"/>
          </rPr>
          <t xml:space="preserve">
Target's equity is eliminated</t>
        </r>
      </text>
    </comment>
  </commentList>
</comments>
</file>

<file path=xl/sharedStrings.xml><?xml version="1.0" encoding="utf-8"?>
<sst xmlns="http://schemas.openxmlformats.org/spreadsheetml/2006/main" count="522" uniqueCount="348">
  <si>
    <t>Cockpit &amp; assumptions</t>
  </si>
  <si>
    <t>DCF Valuation</t>
  </si>
  <si>
    <t>Multiples / Comparables Valuation</t>
  </si>
  <si>
    <t>Financial Projections</t>
  </si>
  <si>
    <t>Decisions to be made by the buyer</t>
  </si>
  <si>
    <t>Decisions to be made by QINGDAO (the buyer)</t>
  </si>
  <si>
    <t>Current year:</t>
  </si>
  <si>
    <t>Final price per share offered by QINGDAO (€ )</t>
  </si>
  <si>
    <t>Final total price offered by QINGDAO €m:</t>
  </si>
  <si>
    <t>Acquisition takes place at the end of the current year</t>
  </si>
  <si>
    <t>% of debt QINGDAO will borrow:</t>
  </si>
  <si>
    <t>Financing structure of the deal</t>
  </si>
  <si>
    <t>%</t>
  </si>
  <si>
    <t>€m</t>
  </si>
  <si>
    <t>Debt</t>
  </si>
  <si>
    <t>Equity</t>
  </si>
  <si>
    <t>Total</t>
  </si>
  <si>
    <t xml:space="preserve">Valuation summary: what would the decision-maker want to see to make her/his decision? </t>
  </si>
  <si>
    <t>Valuation Summary - value per share</t>
  </si>
  <si>
    <t>Valuation method</t>
  </si>
  <si>
    <t>Price per equity share</t>
  </si>
  <si>
    <t>NAV</t>
  </si>
  <si>
    <t>DCF</t>
  </si>
  <si>
    <t>Comparable transactions</t>
  </si>
  <si>
    <t>Multiples of share price 
(aggregate of PE, P/BV, P/S)</t>
  </si>
  <si>
    <t>Comparable public companies</t>
  </si>
  <si>
    <t>EPS</t>
  </si>
  <si>
    <t>Sensitivity analysis (WACC/g) for Target share price</t>
  </si>
  <si>
    <t>Financial Statements &amp; Assumptions</t>
  </si>
  <si>
    <t>Current year</t>
  </si>
  <si>
    <t>Target company - Financial Statements</t>
  </si>
  <si>
    <t>Income Statement</t>
  </si>
  <si>
    <t>Sales</t>
  </si>
  <si>
    <t>COGS</t>
  </si>
  <si>
    <t>SG&amp;A</t>
  </si>
  <si>
    <t>EBIT</t>
  </si>
  <si>
    <t>Fin inc (exp)</t>
  </si>
  <si>
    <t>EBT</t>
  </si>
  <si>
    <t>Tax</t>
  </si>
  <si>
    <t>Net Income</t>
  </si>
  <si>
    <t>Balance Sheet</t>
  </si>
  <si>
    <t>Fixed Assets</t>
  </si>
  <si>
    <t>Working Capital Requirement</t>
  </si>
  <si>
    <t>Total Invested Capital</t>
  </si>
  <si>
    <t>Net Debt (Gross Debt minus Cash)</t>
  </si>
  <si>
    <t>Sh. Equity (including earnings)</t>
  </si>
  <si>
    <t>Total Capital Employed</t>
  </si>
  <si>
    <t>Target company - Assumptions</t>
  </si>
  <si>
    <t xml:space="preserve">Sales level </t>
  </si>
  <si>
    <t xml:space="preserve">Turnover Growth Rate </t>
  </si>
  <si>
    <t>EBITDA as % of sales</t>
  </si>
  <si>
    <t xml:space="preserve">D&amp;A </t>
  </si>
  <si>
    <t>D&amp;A as a % of sales (constant rate)</t>
  </si>
  <si>
    <t xml:space="preserve">CAPEX </t>
  </si>
  <si>
    <t>CAPEX as a %of sales</t>
  </si>
  <si>
    <t>Long Term Growth Rate ("g")</t>
  </si>
  <si>
    <t>Weighted Ave Cost of Capital - Target's WACC</t>
  </si>
  <si>
    <t>Tax rate</t>
  </si>
  <si>
    <t xml:space="preserve">WCR constant growth % </t>
  </si>
  <si>
    <t>Sales of Assets</t>
  </si>
  <si>
    <t># outstanding shares (in 000)</t>
  </si>
  <si>
    <t>in '000</t>
  </si>
  <si>
    <t>Stock transaction Price (recent transaction)</t>
  </si>
  <si>
    <t>€</t>
  </si>
  <si>
    <t>Interest rate</t>
  </si>
  <si>
    <t>EBIT multiple for Terminal Value</t>
  </si>
  <si>
    <t>x</t>
  </si>
  <si>
    <t>Buyer (QINGDAO) - Financial Statements</t>
  </si>
  <si>
    <t>Buyer (QINGDAO) - Assumptions</t>
  </si>
  <si>
    <t xml:space="preserve">Turnover </t>
  </si>
  <si>
    <t>EBITDA % Sales</t>
  </si>
  <si>
    <t>D&amp;A (constant)</t>
  </si>
  <si>
    <t>Weighted Ave Cost of Capital - Buyer's WACC</t>
  </si>
  <si>
    <t>CAPEX (constant)</t>
  </si>
  <si>
    <t>tax rate</t>
  </si>
  <si>
    <t>Stock Price - end of year</t>
  </si>
  <si>
    <t>Interest Charge - existing debt</t>
  </si>
  <si>
    <t>Interest Charge - New debt</t>
  </si>
  <si>
    <t>Terminal Value possible multiples of EBIT</t>
  </si>
  <si>
    <t>Synergies</t>
  </si>
  <si>
    <t>Revenue synergies as % of Target Sales</t>
  </si>
  <si>
    <t>Perpetual growth rate</t>
  </si>
  <si>
    <t>Cost synergies as % of target operating expenses</t>
  </si>
  <si>
    <t>Implementation costs as % of gross synergies</t>
  </si>
  <si>
    <t>From FCFF to FCFE</t>
  </si>
  <si>
    <t>Target DSCR (as expressed as DSCR level across )</t>
  </si>
  <si>
    <t>Step</t>
  </si>
  <si>
    <t>Calculation of the Terminal Value</t>
  </si>
  <si>
    <t>multiples x</t>
  </si>
  <si>
    <t>range of  multiples</t>
  </si>
  <si>
    <t>Multiples valuation</t>
  </si>
  <si>
    <t>Company A (Germany)</t>
  </si>
  <si>
    <t>Company B (France)</t>
  </si>
  <si>
    <t>Company C (USA)</t>
  </si>
  <si>
    <t xml:space="preserve"> Anhoys Brewery </t>
  </si>
  <si>
    <t xml:space="preserve">Bastion Brewery </t>
  </si>
  <si>
    <t>Castle Rock Brewery</t>
  </si>
  <si>
    <t>Date of purchase</t>
  </si>
  <si>
    <t>Purchase price (th€)</t>
  </si>
  <si>
    <t>Sales (th€)</t>
  </si>
  <si>
    <t>EBITDA (th€)</t>
  </si>
  <si>
    <t>EBIT (th€)</t>
  </si>
  <si>
    <t>Net earnings (th€)</t>
  </si>
  <si>
    <t>Shareholder's Equity (Book value) (th€)</t>
  </si>
  <si>
    <t>Net debt (th€)</t>
  </si>
  <si>
    <t>Number of shares (in '000)</t>
  </si>
  <si>
    <t>Competitor 1: Anheuser-Busch InBev</t>
  </si>
  <si>
    <t>Competitor 2: Heineken.</t>
  </si>
  <si>
    <t>Competitor 3: Carlsberg</t>
  </si>
  <si>
    <t>Stock price €</t>
  </si>
  <si>
    <t>Book Value m€</t>
  </si>
  <si>
    <t># shares ('000 000)</t>
  </si>
  <si>
    <t>Net debt m€</t>
  </si>
  <si>
    <t>Sales m€</t>
  </si>
  <si>
    <t>EBITDA m€</t>
  </si>
  <si>
    <t>EBIT m€</t>
  </si>
  <si>
    <t>Net earnings m€</t>
  </si>
  <si>
    <t>Target Valuation by Discounted Cash Flows (in Mil EUR)</t>
  </si>
  <si>
    <t>Timeline</t>
  </si>
  <si>
    <t>Assumptions for Terminal Value</t>
  </si>
  <si>
    <t>Weighted Ave Cost of Capital - targert's WACC</t>
  </si>
  <si>
    <t>Turnover</t>
  </si>
  <si>
    <t>EBITDA</t>
  </si>
  <si>
    <t>D&amp;A</t>
  </si>
  <si>
    <t xml:space="preserve">EBIT </t>
  </si>
  <si>
    <t>EBIT*(1-T) = NOPAT</t>
  </si>
  <si>
    <t xml:space="preserve">WCR % growth yoy </t>
  </si>
  <si>
    <t>WCR</t>
  </si>
  <si>
    <t>change in WCR</t>
  </si>
  <si>
    <t>Operating Cash Flows</t>
  </si>
  <si>
    <t>New Investment (CAPEX)</t>
  </si>
  <si>
    <t>Net New Investment</t>
  </si>
  <si>
    <t>Free Cash Flow to the Firm</t>
  </si>
  <si>
    <t>Terminal Value (multiple of EBIT)</t>
  </si>
  <si>
    <t>Free Cash Flow to the Firm including TV (to discount)</t>
  </si>
  <si>
    <t>Entreprise Value (PV of FCFF)</t>
  </si>
  <si>
    <t>Also possible</t>
  </si>
  <si>
    <t>Discount Factor</t>
  </si>
  <si>
    <t>FCFF discounted at WACC</t>
  </si>
  <si>
    <t>TV discounted at WACC</t>
  </si>
  <si>
    <t>Entreprise Value</t>
  </si>
  <si>
    <t>Alternative Terminal Value (multiple of EBIT)</t>
  </si>
  <si>
    <t>Perpetuity</t>
  </si>
  <si>
    <t>Multiple</t>
  </si>
  <si>
    <t>% DCF</t>
  </si>
  <si>
    <t>% TV</t>
  </si>
  <si>
    <t>minus Net Debt</t>
  </si>
  <si>
    <t>Equity Value</t>
  </si>
  <si>
    <t>Intrinsic Value per share in €</t>
  </si>
  <si>
    <t>Stock Value from recent transaction</t>
  </si>
  <si>
    <t>Intrinsic value is at a Premium (+)/Discount (-)</t>
  </si>
  <si>
    <t>Buyer Valuation by Discounted Cash Flows (in Mil EUR)</t>
  </si>
  <si>
    <t>Assumptions</t>
  </si>
  <si>
    <t>Weighted Ave Cost of Capital</t>
  </si>
  <si>
    <t>Choose your multiple</t>
  </si>
  <si>
    <t>Terminal Value</t>
  </si>
  <si>
    <t>Perpetuity formula (DDM)</t>
  </si>
  <si>
    <t xml:space="preserve">Entreprise Value (PV of FCFF) </t>
  </si>
  <si>
    <t>Active cell</t>
  </si>
  <si>
    <t>Intrinsic Value per share</t>
  </si>
  <si>
    <t>Stock price</t>
  </si>
  <si>
    <t>Stock is at a Premium (+)/Discount (-)</t>
  </si>
  <si>
    <t>Synergies (in Mil EUR)</t>
  </si>
  <si>
    <t>Revenue synergies</t>
  </si>
  <si>
    <t>EBITDA margin</t>
  </si>
  <si>
    <t>EBITDA impact of revenue synergies</t>
  </si>
  <si>
    <t>Cost synergies</t>
  </si>
  <si>
    <t>Total gross operating synergies</t>
  </si>
  <si>
    <t>Implementation costs</t>
  </si>
  <si>
    <t>Pre-tax net synergies</t>
  </si>
  <si>
    <t>After-tax net synergies</t>
  </si>
  <si>
    <t>Discount factor</t>
  </si>
  <si>
    <t>Present value of FCF synergies</t>
  </si>
  <si>
    <t>Present value of FCF synergies (check)</t>
  </si>
  <si>
    <t>Financing the venture</t>
  </si>
  <si>
    <t>Price paid for the target</t>
  </si>
  <si>
    <t>Financing</t>
  </si>
  <si>
    <t># shares to issue (in 000) :</t>
  </si>
  <si>
    <t>Building a debt schedule</t>
  </si>
  <si>
    <t>Existing Debt (for both target and buyer)</t>
  </si>
  <si>
    <t>Beg of Period Debt</t>
  </si>
  <si>
    <t>Repayment (amortization)</t>
  </si>
  <si>
    <t>End of Period Debt</t>
  </si>
  <si>
    <t>Interest Charge</t>
  </si>
  <si>
    <t>New Debt issued by buyer to purchase the target</t>
  </si>
  <si>
    <t>Repayment</t>
  </si>
  <si>
    <t>Consolidated Debt</t>
  </si>
  <si>
    <t>TOTAL DEBT SERVICE</t>
  </si>
  <si>
    <t>DSCR</t>
  </si>
  <si>
    <t>Buyer and Seller - Consolidated Figures (in m€)</t>
  </si>
  <si>
    <t>% Sales</t>
  </si>
  <si>
    <t>Change in WCR</t>
  </si>
  <si>
    <t>Net New Investment (CAPEX)</t>
  </si>
  <si>
    <t>Free Cash Flow to the Firm including synergies &amp; TV (to discount)</t>
  </si>
  <si>
    <t>Discounted FCFF</t>
  </si>
  <si>
    <t>Discounted TV</t>
  </si>
  <si>
    <t>% PV Future CFs</t>
  </si>
  <si>
    <t xml:space="preserve">%TV </t>
  </si>
  <si>
    <t>minus: Net Debt</t>
  </si>
  <si>
    <t>Equity Value (in 000,000)</t>
  </si>
  <si>
    <t>Number Shares Outstanding (in 000)</t>
  </si>
  <si>
    <t>Free cash flow to the firm (Target FCFF + synergies)</t>
  </si>
  <si>
    <t>minus: debt charge</t>
  </si>
  <si>
    <t>Free cash Flow to Equity</t>
  </si>
  <si>
    <t>Terminal value</t>
  </si>
  <si>
    <t>Shareholder's rate of return</t>
  </si>
  <si>
    <t xml:space="preserve">Creditor's analysts and constraints </t>
  </si>
  <si>
    <t>COVERAGE RATIOS</t>
  </si>
  <si>
    <t>Net Debt/EBITDA</t>
  </si>
  <si>
    <t>Debt Service Coverage Ratio (DSCR): FCFF/Total Debt Service</t>
  </si>
  <si>
    <t xml:space="preserve">Average DSCR </t>
  </si>
  <si>
    <t>Debt Capacity of the acquisition project</t>
  </si>
  <si>
    <t>Target Debt Service (Target DSCR * FCFF)</t>
  </si>
  <si>
    <t>PV  of Target Debt Service</t>
  </si>
  <si>
    <t>Maximum % of debt financing</t>
  </si>
  <si>
    <t>Desired % of debt financing</t>
  </si>
  <si>
    <t>New debt schedule: Debt Corkscrew (using target debt financing)</t>
  </si>
  <si>
    <t>Opening Balance</t>
  </si>
  <si>
    <t>Interest paid</t>
  </si>
  <si>
    <t>Principal Repayment</t>
  </si>
  <si>
    <t>Ending Balance</t>
  </si>
  <si>
    <t>Check</t>
  </si>
  <si>
    <t>FCFF</t>
  </si>
  <si>
    <t>Debt service</t>
  </si>
  <si>
    <t>Check target DSCR</t>
  </si>
  <si>
    <t>FCFE with target debt financing</t>
  </si>
  <si>
    <t>Shareholders IRR (with target debt financing)</t>
  </si>
  <si>
    <t>New target capital structure (taking max debt capacity into account)</t>
  </si>
  <si>
    <t xml:space="preserve">    Debt financing</t>
  </si>
  <si>
    <t xml:space="preserve">    Equity financing</t>
  </si>
  <si>
    <t xml:space="preserve">    Total</t>
  </si>
  <si>
    <t>Method 1: when comparables are private companies - multiples based on transactions</t>
  </si>
  <si>
    <t>Gather data from similar companies that were recently purchased (taken over)</t>
  </si>
  <si>
    <t>We look for companies that are in the same business as our target, and that share if possible other characteristics : similar risk profile, similar CAPEX…</t>
  </si>
  <si>
    <t>In this case, three breweries were the object of an acquisition by another company in the last three years</t>
  </si>
  <si>
    <t>They are similar to the US TargetCo brewery</t>
  </si>
  <si>
    <t>Target Co</t>
  </si>
  <si>
    <t>Price per share €</t>
  </si>
  <si>
    <t>BV Per share €</t>
  </si>
  <si>
    <t>EBITDA MARGIN % TURNOVER</t>
  </si>
  <si>
    <t>EBIT MARGIN % TURNOVER</t>
  </si>
  <si>
    <t>Calculate multiples with several metrics</t>
  </si>
  <si>
    <t>Valuation variables (multiples)</t>
  </si>
  <si>
    <t>Weighted average</t>
  </si>
  <si>
    <t>Weight of each company</t>
  </si>
  <si>
    <t>P/E (x)</t>
  </si>
  <si>
    <t>EV/EBITDA (x)</t>
  </si>
  <si>
    <t>EV/EBIT (x)</t>
  </si>
  <si>
    <t>EV/Sales (x)</t>
  </si>
  <si>
    <t>P/BV (x)</t>
  </si>
  <si>
    <t>P/S (x)</t>
  </si>
  <si>
    <t>Calculate the average stock price for your Target</t>
  </si>
  <si>
    <t>Do we want to weigth the three comparable companies differently? Do we want to weigth the multiples differently?</t>
  </si>
  <si>
    <t>Do we want to use only one multiple and one company?</t>
  </si>
  <si>
    <t>Target Co valuation variables - using Price (P) multiples</t>
  </si>
  <si>
    <t>Weight of each multiple</t>
  </si>
  <si>
    <t>Estimated stock value in €</t>
  </si>
  <si>
    <t>Using PE multiple</t>
  </si>
  <si>
    <t>Using Price to Book Value multiple</t>
  </si>
  <si>
    <t>Using Price to Sales</t>
  </si>
  <si>
    <t>Target Co valuation variables - using Enterprise Value (EV) multiples</t>
  </si>
  <si>
    <t>Estimated EV in th€</t>
  </si>
  <si>
    <t>Using EV/EBITDA Multiple for EV (th€)</t>
  </si>
  <si>
    <t>Using EV/EBIT Multiple for EV (th€)</t>
  </si>
  <si>
    <t>Using EV/Sales Multiple for EV (th€)</t>
  </si>
  <si>
    <t>Minus debt</t>
  </si>
  <si>
    <t>Estimated stock value</t>
  </si>
  <si>
    <t>Estimated mean stock value per share</t>
  </si>
  <si>
    <t>Method 2: When comparables  trade on a stock exchange - multiples based on stock prices</t>
  </si>
  <si>
    <t>Gather data about competitors (comparables) from the stock market</t>
  </si>
  <si>
    <t>Competitors data (€)</t>
  </si>
  <si>
    <t>Target Co.</t>
  </si>
  <si>
    <t>?</t>
  </si>
  <si>
    <t>BV PS</t>
  </si>
  <si>
    <t>EV</t>
  </si>
  <si>
    <t>Valuation variables</t>
  </si>
  <si>
    <t>Mean</t>
  </si>
  <si>
    <t>P/BV</t>
  </si>
  <si>
    <t>EV/EBITDA(x)</t>
  </si>
  <si>
    <t>Target Co valuation variables</t>
  </si>
  <si>
    <t>Estimated stock purchase price (including takeover premium)</t>
  </si>
  <si>
    <t>Using PE</t>
  </si>
  <si>
    <t>Using P/BV</t>
  </si>
  <si>
    <t>Using EV/Sales</t>
  </si>
  <si>
    <t>Using EV/EBITDA</t>
  </si>
  <si>
    <t>Using EV/EBIT</t>
  </si>
  <si>
    <t>Gather data from companies that were recently taken over</t>
  </si>
  <si>
    <t>Stock price before takeover</t>
  </si>
  <si>
    <t>Takeover purchase price per share</t>
  </si>
  <si>
    <t>Takeover premium (%)</t>
  </si>
  <si>
    <t>Company A</t>
  </si>
  <si>
    <t>Company B</t>
  </si>
  <si>
    <t>Company C</t>
  </si>
  <si>
    <t>Company D</t>
  </si>
  <si>
    <t>Mean takeover premium for the above companies</t>
  </si>
  <si>
    <t>Calculate the takeover stock price for your Target</t>
  </si>
  <si>
    <t>Estimated mean stock relative value</t>
  </si>
  <si>
    <t>Add: Average takeover premium</t>
  </si>
  <si>
    <t>Purchase price of TargetCo stock</t>
  </si>
  <si>
    <t>Financial Statements m€</t>
  </si>
  <si>
    <t>Qingdao standalone</t>
  </si>
  <si>
    <t>Qingdao &amp; target (consolidated)</t>
  </si>
  <si>
    <t>Financial Statements (m€) for the takeover</t>
  </si>
  <si>
    <t>Acquirer</t>
  </si>
  <si>
    <t>Target</t>
  </si>
  <si>
    <t>Debt&amp;Stock funded</t>
  </si>
  <si>
    <t>Opening Balance Sheet</t>
  </si>
  <si>
    <t>Goodwill</t>
  </si>
  <si>
    <t>Other</t>
  </si>
  <si>
    <t>Capital Employed</t>
  </si>
  <si>
    <t xml:space="preserve">    Debt</t>
  </si>
  <si>
    <t>Invested Capital</t>
  </si>
  <si>
    <t xml:space="preserve">    Cash</t>
  </si>
  <si>
    <t>Contributed capital</t>
  </si>
  <si>
    <t>Check balance</t>
  </si>
  <si>
    <t>Retained earnings</t>
  </si>
  <si>
    <t>Cash Flow Statement</t>
  </si>
  <si>
    <t>CFO</t>
  </si>
  <si>
    <t>CFI</t>
  </si>
  <si>
    <t>CFF</t>
  </si>
  <si>
    <t>Net cash flow</t>
  </si>
  <si>
    <t>Beg Cash Position</t>
  </si>
  <si>
    <t>Ending Cash Position</t>
  </si>
  <si>
    <t>Net earnings</t>
  </si>
  <si>
    <t>m€</t>
  </si>
  <si>
    <t>Shares outstanding</t>
  </si>
  <si>
    <t>th of shares</t>
  </si>
  <si>
    <t>Net debt</t>
  </si>
  <si>
    <t>Net Debt / EBITDA</t>
  </si>
  <si>
    <t>Financial expenses</t>
  </si>
  <si>
    <t>Interest coverage</t>
  </si>
  <si>
    <t>Net Debt</t>
  </si>
  <si>
    <t>Gearing (Net debt / Equity)</t>
  </si>
  <si>
    <t>NOPAT = EBIT * (1-t)</t>
  </si>
  <si>
    <t>ROCE</t>
  </si>
  <si>
    <t>ROE</t>
  </si>
  <si>
    <t xml:space="preserve">From FCFF to FCFE </t>
  </si>
  <si>
    <t>QINGDAO Acquisition case</t>
  </si>
  <si>
    <t>Perpetuity Method</t>
  </si>
  <si>
    <t>Entreprise Value (PV of FCFF) - using EBIT Multiple</t>
  </si>
  <si>
    <t>Entreprise Value (PV of FCFF) - using Perpetuity Method</t>
  </si>
  <si>
    <t>Equity Value €m</t>
  </si>
  <si>
    <t>Equity Value of Target + Synergies €m</t>
  </si>
  <si>
    <t>Debt after Operations</t>
  </si>
  <si>
    <t>Debt to Equity</t>
  </si>
  <si>
    <t>Equity before share issue</t>
  </si>
  <si>
    <t>share issue</t>
  </si>
  <si>
    <t>Equity after share issue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</si>
</sst>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43" formatCode="_(* #,##0.00_);_(* \(#,##0.00\);_(* &quot;-&quot;??_);_(@_)"/>
    <numFmt numFmtId="164" formatCode="_-* #,##0.00\ &quot;€&quot;_-;\-* #,##0.00\ &quot;€&quot;_-;_-* &quot;-&quot;??\ &quot;€&quot;_-;_-@_-"/>
    <numFmt numFmtId="165" formatCode="_-* #,##0.00\ _€_-;\-* #,##0.00\ _€_-;_-* &quot;-&quot;??\ _€_-;_-@_-"/>
    <numFmt numFmtId="166" formatCode="_-* #,##0.00_-;\-* #,##0.00_-;_-* &quot;-&quot;??_-;_-@_-"/>
    <numFmt numFmtId="167" formatCode="_-* #,##0.0\ _€_-;\-* #,##0.0\ _€_-;_-* &quot;-&quot;??\ _€_-;_-@_-"/>
    <numFmt numFmtId="168" formatCode="_-* #,##0\ _€_-;\-* #,##0\ _€_-;_-* &quot;-&quot;??\ _€_-;_-@_-"/>
    <numFmt numFmtId="169" formatCode="0.0%"/>
    <numFmt numFmtId="170" formatCode="0.00\x"/>
    <numFmt numFmtId="171" formatCode="0.0\x"/>
    <numFmt numFmtId="172" formatCode="0.0"/>
    <numFmt numFmtId="173" formatCode="_-* #,##0.0\ _€_-;\-* #,##0.0\ _€_-;_-* &quot;-&quot;?\ _€_-;_-@_-"/>
    <numFmt numFmtId="174" formatCode="#,##0.0"/>
    <numFmt numFmtId="175" formatCode="_-* #,##0.0000\ _€_-;\-* #,##0.0000\ _€_-;_-* &quot;-&quot;??\ _€_-;_-@_-"/>
    <numFmt numFmtId="176" formatCode="_-* #,##0\ [$€-40C]_-;\-* #,##0\ [$€-40C]_-;_-* &quot;-&quot;??\ [$€-40C]_-;_-@_-"/>
    <numFmt numFmtId="177" formatCode="_-* #,##0\ &quot;€&quot;_-;\-* #,##0\ &quot;€&quot;_-;_-* &quot;-&quot;??\ &quot;€&quot;_-;_-@_-"/>
    <numFmt numFmtId="178" formatCode="#,##0.0_ ;\-#,##0.0\ "/>
    <numFmt numFmtId="179" formatCode="#,##0_ ;\-#,##0\ "/>
    <numFmt numFmtId="180" formatCode="#,##0.0000"/>
    <numFmt numFmtId="181" formatCode="_-* #,##0.00\ _€_-;\-* #,##0.00\ _€_-;_-* &quot;-&quot;?\ _€_-;_-@_-"/>
    <numFmt numFmtId="182" formatCode="0.0000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b/>
      <sz val="10"/>
      <name val="Arial"/>
      <family val="2"/>
    </font>
    <font>
      <u val="singleAccounting"/>
      <sz val="10"/>
      <name val="Arial"/>
      <family val="2"/>
    </font>
    <font>
      <i/>
      <sz val="10"/>
      <name val="Arial"/>
      <family val="2"/>
    </font>
    <font>
      <sz val="9"/>
      <color indexed="81"/>
      <name val="Tahoma"/>
      <family val="2"/>
    </font>
    <font>
      <b/>
      <sz val="9"/>
      <color indexed="81"/>
      <name val="Tahoma"/>
      <family val="2"/>
    </font>
    <font>
      <sz val="9"/>
      <name val="Arial"/>
      <family val="2"/>
    </font>
    <font>
      <b/>
      <sz val="9"/>
      <name val="Arial"/>
      <family val="2"/>
    </font>
    <font>
      <u val="singleAccounting"/>
      <sz val="9"/>
      <name val="Arial"/>
      <family val="2"/>
    </font>
    <font>
      <b/>
      <i/>
      <sz val="10"/>
      <name val="Arial"/>
      <family val="2"/>
    </font>
    <font>
      <sz val="10"/>
      <color theme="0"/>
      <name val="Arial"/>
      <family val="2"/>
    </font>
    <font>
      <b/>
      <sz val="10"/>
      <color theme="0"/>
      <name val="Arial"/>
      <family val="2"/>
    </font>
    <font>
      <sz val="10"/>
      <color rgb="FFFF0000"/>
      <name val="Arial"/>
      <family val="2"/>
    </font>
    <font>
      <b/>
      <sz val="11"/>
      <name val="Calibri"/>
      <family val="2"/>
      <scheme val="minor"/>
    </font>
    <font>
      <i/>
      <sz val="10"/>
      <color theme="0"/>
      <name val="Arial"/>
      <family val="2"/>
    </font>
    <font>
      <b/>
      <sz val="10"/>
      <color rgb="FFFF0000"/>
      <name val="Arial"/>
      <family val="2"/>
    </font>
    <font>
      <b/>
      <u/>
      <sz val="10"/>
      <name val="Arial"/>
      <family val="2"/>
    </font>
    <font>
      <sz val="9"/>
      <color theme="0"/>
      <name val="Arial"/>
      <family val="2"/>
    </font>
    <font>
      <b/>
      <u val="singleAccounting"/>
      <sz val="10"/>
      <name val="Arial"/>
      <family val="2"/>
    </font>
    <font>
      <b/>
      <sz val="8"/>
      <name val="Arial"/>
      <family val="2"/>
    </font>
    <font>
      <u/>
      <sz val="8"/>
      <name val="Arial"/>
      <family val="2"/>
    </font>
    <font>
      <b/>
      <u/>
      <sz val="9"/>
      <name val="Arial"/>
      <family val="2"/>
    </font>
    <font>
      <b/>
      <sz val="10"/>
      <name val="Calibri"/>
      <family val="2"/>
      <scheme val="minor"/>
    </font>
    <font>
      <b/>
      <sz val="10"/>
      <color theme="1"/>
      <name val="Calibri"/>
      <family val="2"/>
      <scheme val="minor"/>
    </font>
    <font>
      <sz val="10"/>
      <name val="Arial Narrow"/>
      <family val="2"/>
    </font>
    <font>
      <b/>
      <sz val="10"/>
      <name val="Arial Narrow"/>
      <family val="2"/>
    </font>
    <font>
      <b/>
      <sz val="10"/>
      <color rgb="FFFF0000"/>
      <name val="Arial Narrow"/>
      <family val="2"/>
    </font>
    <font>
      <sz val="9"/>
      <color rgb="FFFF0000"/>
      <name val="Arial"/>
      <family val="2"/>
    </font>
    <font>
      <i/>
      <sz val="9"/>
      <color theme="5" tint="-0.499984740745262"/>
      <name val="Arial"/>
      <family val="2"/>
    </font>
    <font>
      <b/>
      <i/>
      <sz val="9"/>
      <color theme="5" tint="-0.499984740745262"/>
      <name val="Arial"/>
      <family val="2"/>
    </font>
    <font>
      <b/>
      <sz val="9"/>
      <color rgb="FFFF0000"/>
      <name val="Arial"/>
      <family val="2"/>
    </font>
    <font>
      <b/>
      <sz val="9"/>
      <color theme="5" tint="-0.499984740745262"/>
      <name val="Arial"/>
      <family val="2"/>
    </font>
    <font>
      <b/>
      <sz val="11"/>
      <color theme="1"/>
      <name val="Calibri"/>
      <family val="2"/>
      <scheme val="minor"/>
    </font>
    <font>
      <b/>
      <sz val="10"/>
      <color rgb="FFFF0000"/>
      <name val="Calibri"/>
      <family val="2"/>
    </font>
    <font>
      <sz val="12"/>
      <name val="Arial"/>
      <family val="2"/>
    </font>
    <font>
      <u/>
      <sz val="9"/>
      <name val="Arial"/>
      <family val="2"/>
    </font>
    <font>
      <b/>
      <sz val="11"/>
      <name val="Arial"/>
      <family val="2"/>
    </font>
    <font>
      <sz val="11"/>
      <name val="Calibri"/>
      <family val="2"/>
      <scheme val="minor"/>
    </font>
    <font>
      <sz val="9"/>
      <color rgb="FFC00000"/>
      <name val="Arial"/>
      <family val="2"/>
    </font>
    <font>
      <u/>
      <sz val="9"/>
      <color theme="1" tint="0.499984740745262"/>
      <name val="Arial"/>
      <family val="2"/>
    </font>
    <font>
      <b/>
      <sz val="9"/>
      <color theme="1" tint="0.499984740745262"/>
      <name val="Arial"/>
      <family val="2"/>
    </font>
    <font>
      <sz val="10"/>
      <color theme="1" tint="0.499984740745262"/>
      <name val="Arial"/>
      <family val="2"/>
    </font>
    <font>
      <sz val="9"/>
      <color theme="1" tint="0.499984740745262"/>
      <name val="Arial"/>
      <family val="2"/>
    </font>
    <font>
      <b/>
      <sz val="10"/>
      <color theme="1" tint="0.499984740745262"/>
      <name val="Arial"/>
      <family val="2"/>
    </font>
    <font>
      <b/>
      <u/>
      <sz val="10"/>
      <color theme="1" tint="0.499984740745262"/>
      <name val="Arial"/>
      <family val="2"/>
    </font>
    <font>
      <b/>
      <u val="singleAccounting"/>
      <sz val="10"/>
      <color theme="1" tint="0.499984740745262"/>
      <name val="Arial"/>
      <family val="2"/>
    </font>
    <font>
      <sz val="11"/>
      <color theme="0"/>
      <name val="Calibri"/>
      <family val="2"/>
      <scheme val="minor"/>
    </font>
    <font>
      <b/>
      <i/>
      <sz val="11"/>
      <color theme="5" tint="-0.499984740745262"/>
      <name val="Calibri"/>
      <family val="2"/>
      <scheme val="minor"/>
    </font>
    <font>
      <i/>
      <u/>
      <sz val="10"/>
      <name val="Arial"/>
      <family val="2"/>
    </font>
    <font>
      <i/>
      <sz val="9"/>
      <name val="Arial"/>
      <family val="2"/>
    </font>
    <font>
      <u/>
      <sz val="10"/>
      <color theme="10"/>
      <name val="Arial"/>
      <family val="2"/>
    </font>
    <font>
      <b/>
      <sz val="10"/>
      <color theme="0"/>
      <name val="Arial Narrow"/>
      <family val="2"/>
    </font>
    <font>
      <b/>
      <sz val="12"/>
      <name val="Arial"/>
      <family val="2"/>
    </font>
    <font>
      <sz val="14"/>
      <color theme="0"/>
      <name val="Arial"/>
      <family val="2"/>
    </font>
    <font>
      <b/>
      <sz val="14"/>
      <color theme="0"/>
      <name val="Arial"/>
      <family val="2"/>
    </font>
    <font>
      <b/>
      <sz val="11"/>
      <color theme="0"/>
      <name val="Calibri"/>
      <family val="2"/>
      <scheme val="minor"/>
    </font>
    <font>
      <sz val="11"/>
      <color rgb="FF000000"/>
      <name val="Calibri"/>
      <family val="2"/>
      <scheme val="minor"/>
    </font>
    <font>
      <b/>
      <sz val="11"/>
      <color rgb="FFFF0000"/>
      <name val="Calibri"/>
      <family val="2"/>
      <scheme val="minor"/>
    </font>
    <font>
      <i/>
      <sz val="11"/>
      <name val="Calibri"/>
      <family val="2"/>
      <scheme val="minor"/>
    </font>
    <font>
      <b/>
      <u/>
      <sz val="11"/>
      <name val="Calibri"/>
      <family val="2"/>
      <scheme val="minor"/>
    </font>
    <font>
      <u/>
      <sz val="11"/>
      <name val="Calibri"/>
      <family val="2"/>
      <scheme val="minor"/>
    </font>
    <font>
      <b/>
      <sz val="11"/>
      <color theme="7" tint="-0.499984740745262"/>
      <name val="Calibri"/>
      <family val="2"/>
      <scheme val="minor"/>
    </font>
    <font>
      <sz val="11"/>
      <color rgb="FFFF0000"/>
      <name val="Calibri"/>
      <family val="2"/>
      <scheme val="minor"/>
    </font>
    <font>
      <sz val="9"/>
      <color theme="1"/>
      <name val="Arial"/>
      <family val="2"/>
    </font>
    <font>
      <b/>
      <sz val="10"/>
      <color theme="1"/>
      <name val="Arial"/>
      <family val="2"/>
    </font>
    <font>
      <sz val="10"/>
      <color theme="1"/>
      <name val="Arial"/>
      <family val="2"/>
    </font>
    <font>
      <u/>
      <sz val="9"/>
      <color theme="1"/>
      <name val="Arial"/>
      <family val="2"/>
    </font>
    <font>
      <b/>
      <sz val="14"/>
      <color theme="1"/>
      <name val="Calibri"/>
      <family val="2"/>
      <scheme val="minor"/>
    </font>
    <font>
      <b/>
      <u/>
      <sz val="11"/>
      <name val="Arial Narrow"/>
      <family val="2"/>
    </font>
    <font>
      <b/>
      <sz val="11"/>
      <color rgb="FFC00000"/>
      <name val="Calibri"/>
      <family val="2"/>
      <scheme val="minor"/>
    </font>
    <font>
      <b/>
      <u/>
      <sz val="10"/>
      <color theme="10"/>
      <name val="Arial"/>
      <family val="2"/>
    </font>
    <font>
      <b/>
      <sz val="14"/>
      <name val="Arial"/>
      <family val="2"/>
    </font>
    <font>
      <i/>
      <sz val="9"/>
      <color rgb="FFFF0000"/>
      <name val="Arial"/>
      <family val="2"/>
    </font>
  </fonts>
  <fills count="23">
    <fill>
      <patternFill patternType="none"/>
    </fill>
    <fill>
      <patternFill patternType="gray125"/>
    </fill>
    <fill>
      <patternFill patternType="solid">
        <fgColor theme="5" tint="0.59999389629810485"/>
        <bgColor indexed="64"/>
      </patternFill>
    </fill>
    <fill>
      <patternFill patternType="solid">
        <fgColor theme="0"/>
        <bgColor indexed="64"/>
      </patternFill>
    </fill>
    <fill>
      <patternFill patternType="solid">
        <fgColor rgb="FF002060"/>
        <bgColor indexed="64"/>
      </patternFill>
    </fill>
    <fill>
      <patternFill patternType="solid">
        <fgColor theme="4" tint="0.59999389629810485"/>
        <bgColor indexed="64"/>
      </patternFill>
    </fill>
    <fill>
      <patternFill patternType="solid">
        <fgColor indexed="9"/>
        <bgColor indexed="64"/>
      </patternFill>
    </fill>
    <fill>
      <patternFill patternType="solid">
        <fgColor theme="3" tint="-0.249977111117893"/>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2"/>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rgb="FF99FF99"/>
        <bgColor indexed="64"/>
      </patternFill>
    </fill>
    <fill>
      <patternFill patternType="solid">
        <fgColor rgb="FFFFFF00"/>
        <bgColor indexed="64"/>
      </patternFill>
    </fill>
    <fill>
      <patternFill patternType="solid">
        <fgColor theme="8" tint="0.79998168889431442"/>
        <bgColor indexed="64"/>
      </patternFill>
    </fill>
  </fills>
  <borders count="3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top style="medium">
        <color indexed="64"/>
      </top>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14">
    <xf numFmtId="0" fontId="0" fillId="0" borderId="0"/>
    <xf numFmtId="165" fontId="6" fillId="0" borderId="0" applyFont="0" applyFill="0" applyBorder="0" applyAlignment="0" applyProtection="0"/>
    <xf numFmtId="164" fontId="6" fillId="0" borderId="0" applyFont="0" applyFill="0" applyBorder="0" applyAlignment="0" applyProtection="0"/>
    <xf numFmtId="0" fontId="8" fillId="0" borderId="0"/>
    <xf numFmtId="9" fontId="6" fillId="0" borderId="0" applyFont="0" applyFill="0" applyBorder="0" applyAlignment="0" applyProtection="0"/>
    <xf numFmtId="0" fontId="6"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0" fontId="58" fillId="0" borderId="0" applyNumberFormat="0" applyFill="0" applyBorder="0" applyAlignment="0" applyProtection="0"/>
    <xf numFmtId="0" fontId="6" fillId="0" borderId="0"/>
    <xf numFmtId="0" fontId="3" fillId="0" borderId="0"/>
    <xf numFmtId="166" fontId="3" fillId="0" borderId="0" applyFont="0" applyFill="0" applyBorder="0" applyAlignment="0" applyProtection="0"/>
    <xf numFmtId="9" fontId="3" fillId="0" borderId="0" applyFont="0" applyFill="0" applyBorder="0" applyAlignment="0" applyProtection="0"/>
  </cellStyleXfs>
  <cellXfs count="770">
    <xf numFmtId="0" fontId="0" fillId="0" borderId="0" xfId="0"/>
    <xf numFmtId="0" fontId="9" fillId="0" borderId="0" xfId="5" applyFont="1"/>
    <xf numFmtId="0" fontId="14" fillId="0" borderId="0" xfId="5" applyFont="1"/>
    <xf numFmtId="0" fontId="18" fillId="0" borderId="0" xfId="5" applyFont="1" applyAlignment="1">
      <alignment horizontal="center" vertical="center"/>
    </xf>
    <xf numFmtId="0" fontId="9" fillId="0" borderId="0" xfId="5" applyFont="1" applyAlignment="1">
      <alignment horizontal="center" vertical="center"/>
    </xf>
    <xf numFmtId="0" fontId="6" fillId="0" borderId="0" xfId="5"/>
    <xf numFmtId="0" fontId="6" fillId="0" borderId="0" xfId="5" applyAlignment="1">
      <alignment horizontal="center"/>
    </xf>
    <xf numFmtId="0" fontId="9" fillId="0" borderId="1" xfId="5" applyFont="1" applyBorder="1"/>
    <xf numFmtId="0" fontId="9" fillId="0" borderId="0" xfId="5" applyFont="1" applyAlignment="1">
      <alignment horizontal="center"/>
    </xf>
    <xf numFmtId="0" fontId="18" fillId="4" borderId="0" xfId="5" applyFont="1" applyFill="1"/>
    <xf numFmtId="0" fontId="19" fillId="0" borderId="1" xfId="5" applyFont="1" applyBorder="1" applyAlignment="1">
      <alignment horizontal="center" vertical="center"/>
    </xf>
    <xf numFmtId="0" fontId="19" fillId="0" borderId="0" xfId="5" applyFont="1" applyAlignment="1">
      <alignment horizontal="center" vertical="center"/>
    </xf>
    <xf numFmtId="173" fontId="9" fillId="0" borderId="0" xfId="5" applyNumberFormat="1" applyFont="1"/>
    <xf numFmtId="0" fontId="22" fillId="0" borderId="0" xfId="5" applyFont="1" applyAlignment="1">
      <alignment horizontal="center" vertical="center"/>
    </xf>
    <xf numFmtId="0" fontId="11" fillId="0" borderId="0" xfId="5" applyFont="1"/>
    <xf numFmtId="165" fontId="6" fillId="0" borderId="0" xfId="1" applyFont="1" applyFill="1" applyBorder="1"/>
    <xf numFmtId="0" fontId="9" fillId="5" borderId="0" xfId="5" applyFont="1" applyFill="1"/>
    <xf numFmtId="0" fontId="6" fillId="5" borderId="0" xfId="5" applyFill="1" applyAlignment="1">
      <alignment horizontal="center" vertical="center"/>
    </xf>
    <xf numFmtId="0" fontId="18" fillId="3" borderId="0" xfId="5" applyFont="1" applyFill="1"/>
    <xf numFmtId="0" fontId="6" fillId="3" borderId="0" xfId="5" applyFill="1"/>
    <xf numFmtId="0" fontId="6" fillId="3" borderId="0" xfId="5" applyFill="1" applyAlignment="1">
      <alignment horizontal="center" vertical="center"/>
    </xf>
    <xf numFmtId="0" fontId="19" fillId="3" borderId="0" xfId="5" applyFont="1" applyFill="1"/>
    <xf numFmtId="0" fontId="18" fillId="3" borderId="0" xfId="5" applyFont="1" applyFill="1" applyAlignment="1">
      <alignment horizontal="center"/>
    </xf>
    <xf numFmtId="0" fontId="32" fillId="6" borderId="22" xfId="5" applyFont="1" applyFill="1" applyBorder="1"/>
    <xf numFmtId="0" fontId="33" fillId="6" borderId="25" xfId="5" applyFont="1" applyFill="1" applyBorder="1"/>
    <xf numFmtId="0" fontId="32" fillId="6" borderId="25" xfId="5" applyFont="1" applyFill="1" applyBorder="1"/>
    <xf numFmtId="0" fontId="32" fillId="6" borderId="23" xfId="5" applyFont="1" applyFill="1" applyBorder="1"/>
    <xf numFmtId="0" fontId="33" fillId="6" borderId="14" xfId="5" applyFont="1" applyFill="1" applyBorder="1"/>
    <xf numFmtId="0" fontId="33" fillId="6" borderId="0" xfId="5" applyFont="1" applyFill="1" applyAlignment="1">
      <alignment vertical="top" wrapText="1"/>
    </xf>
    <xf numFmtId="0" fontId="33" fillId="6" borderId="15" xfId="5" applyFont="1" applyFill="1" applyBorder="1"/>
    <xf numFmtId="0" fontId="32" fillId="6" borderId="14" xfId="5" applyFont="1" applyFill="1" applyBorder="1" applyAlignment="1">
      <alignment vertical="center"/>
    </xf>
    <xf numFmtId="0" fontId="33" fillId="6" borderId="0" xfId="5" applyFont="1" applyFill="1" applyAlignment="1">
      <alignment vertical="center" wrapText="1"/>
    </xf>
    <xf numFmtId="0" fontId="32" fillId="6" borderId="15" xfId="5" applyFont="1" applyFill="1" applyBorder="1" applyAlignment="1">
      <alignment vertical="center"/>
    </xf>
    <xf numFmtId="0" fontId="32" fillId="6" borderId="14" xfId="5" applyFont="1" applyFill="1" applyBorder="1"/>
    <xf numFmtId="2" fontId="32" fillId="6" borderId="0" xfId="5" applyNumberFormat="1" applyFont="1" applyFill="1" applyAlignment="1">
      <alignment horizontal="center" vertical="top" wrapText="1"/>
    </xf>
    <xf numFmtId="0" fontId="32" fillId="6" borderId="15" xfId="5" applyFont="1" applyFill="1" applyBorder="1"/>
    <xf numFmtId="0" fontId="9" fillId="3" borderId="14" xfId="5" applyFont="1" applyFill="1" applyBorder="1"/>
    <xf numFmtId="0" fontId="6" fillId="3" borderId="14" xfId="5" applyFill="1" applyBorder="1"/>
    <xf numFmtId="0" fontId="33" fillId="6" borderId="0" xfId="5" applyFont="1" applyFill="1"/>
    <xf numFmtId="174" fontId="6" fillId="3" borderId="0" xfId="5" applyNumberFormat="1" applyFill="1"/>
    <xf numFmtId="0" fontId="32" fillId="6" borderId="18" xfId="5" applyFont="1" applyFill="1" applyBorder="1"/>
    <xf numFmtId="0" fontId="33" fillId="6" borderId="24" xfId="5" applyFont="1" applyFill="1" applyBorder="1"/>
    <xf numFmtId="0" fontId="32" fillId="6" borderId="24" xfId="5" applyFont="1" applyFill="1" applyBorder="1"/>
    <xf numFmtId="0" fontId="32" fillId="6" borderId="17" xfId="5" applyFont="1" applyFill="1" applyBorder="1"/>
    <xf numFmtId="0" fontId="32" fillId="6" borderId="0" xfId="5" applyFont="1" applyFill="1"/>
    <xf numFmtId="0" fontId="6" fillId="3" borderId="18" xfId="5" applyFill="1" applyBorder="1"/>
    <xf numFmtId="0" fontId="6" fillId="3" borderId="24" xfId="5" applyFill="1" applyBorder="1"/>
    <xf numFmtId="0" fontId="6" fillId="0" borderId="0" xfId="5" applyAlignment="1">
      <alignment horizontal="center" vertical="center"/>
    </xf>
    <xf numFmtId="0" fontId="32" fillId="6" borderId="25" xfId="5" applyFont="1" applyFill="1" applyBorder="1" applyAlignment="1">
      <alignment horizontal="center" vertical="center"/>
    </xf>
    <xf numFmtId="0" fontId="33" fillId="6" borderId="0" xfId="5" applyFont="1" applyFill="1" applyAlignment="1">
      <alignment horizontal="center" vertical="center" wrapText="1"/>
    </xf>
    <xf numFmtId="0" fontId="32" fillId="6" borderId="0" xfId="5" applyFont="1" applyFill="1" applyAlignment="1">
      <alignment horizontal="center" vertical="center"/>
    </xf>
    <xf numFmtId="0" fontId="33" fillId="6" borderId="25" xfId="5" applyFont="1" applyFill="1" applyBorder="1" applyAlignment="1">
      <alignment horizontal="center" vertical="center"/>
    </xf>
    <xf numFmtId="0" fontId="32" fillId="6" borderId="0" xfId="5" applyFont="1" applyFill="1" applyAlignment="1">
      <alignment vertical="center"/>
    </xf>
    <xf numFmtId="0" fontId="33" fillId="6" borderId="0" xfId="5" applyFont="1" applyFill="1" applyAlignment="1">
      <alignment vertical="top"/>
    </xf>
    <xf numFmtId="0" fontId="33" fillId="6" borderId="24" xfId="5" applyFont="1" applyFill="1" applyBorder="1" applyAlignment="1">
      <alignment horizontal="center" vertical="center"/>
    </xf>
    <xf numFmtId="0" fontId="32" fillId="3" borderId="0" xfId="5" applyFont="1" applyFill="1"/>
    <xf numFmtId="0" fontId="15" fillId="0" borderId="0" xfId="5" applyFont="1"/>
    <xf numFmtId="0" fontId="15" fillId="0" borderId="0" xfId="5" applyFont="1" applyAlignment="1">
      <alignment horizontal="center"/>
    </xf>
    <xf numFmtId="10" fontId="14" fillId="0" borderId="0" xfId="5" applyNumberFormat="1" applyFont="1"/>
    <xf numFmtId="167" fontId="15" fillId="0" borderId="0" xfId="5" applyNumberFormat="1" applyFont="1"/>
    <xf numFmtId="173" fontId="15" fillId="0" borderId="0" xfId="5" applyNumberFormat="1" applyFont="1"/>
    <xf numFmtId="167" fontId="15" fillId="0" borderId="0" xfId="1" applyNumberFormat="1" applyFont="1" applyFill="1"/>
    <xf numFmtId="167" fontId="16" fillId="0" borderId="0" xfId="1" applyNumberFormat="1" applyFont="1" applyFill="1"/>
    <xf numFmtId="167" fontId="15" fillId="0" borderId="0" xfId="1" applyNumberFormat="1" applyFont="1"/>
    <xf numFmtId="0" fontId="15" fillId="0" borderId="1" xfId="5" applyFont="1" applyBorder="1" applyAlignment="1">
      <alignment horizontal="center"/>
    </xf>
    <xf numFmtId="168" fontId="9" fillId="0" borderId="0" xfId="5" applyNumberFormat="1" applyFont="1"/>
    <xf numFmtId="0" fontId="36" fillId="0" borderId="0" xfId="5" applyFont="1"/>
    <xf numFmtId="0" fontId="9" fillId="0" borderId="21" xfId="5" applyFont="1" applyBorder="1" applyAlignment="1">
      <alignment horizontal="center"/>
    </xf>
    <xf numFmtId="0" fontId="9" fillId="0" borderId="20" xfId="5" applyFont="1" applyBorder="1" applyAlignment="1">
      <alignment horizontal="center"/>
    </xf>
    <xf numFmtId="168" fontId="14" fillId="3" borderId="24" xfId="1" applyNumberFormat="1" applyFont="1" applyFill="1" applyBorder="1" applyAlignment="1">
      <alignment horizontal="center" vertical="center"/>
    </xf>
    <xf numFmtId="0" fontId="6" fillId="3" borderId="0" xfId="5" applyFill="1" applyAlignment="1">
      <alignment horizontal="right"/>
    </xf>
    <xf numFmtId="169" fontId="6" fillId="3" borderId="0" xfId="4" applyNumberFormat="1" applyFill="1"/>
    <xf numFmtId="0" fontId="6" fillId="0" borderId="0" xfId="0" applyFont="1"/>
    <xf numFmtId="0" fontId="9" fillId="0" borderId="0" xfId="0" applyFont="1"/>
    <xf numFmtId="0" fontId="19" fillId="7" borderId="0" xfId="5" applyFont="1" applyFill="1"/>
    <xf numFmtId="0" fontId="18" fillId="7" borderId="0" xfId="5" applyFont="1" applyFill="1"/>
    <xf numFmtId="0" fontId="18" fillId="7" borderId="0" xfId="5" applyFont="1" applyFill="1" applyAlignment="1">
      <alignment horizontal="center"/>
    </xf>
    <xf numFmtId="0" fontId="6" fillId="7" borderId="0" xfId="5" applyFill="1"/>
    <xf numFmtId="0" fontId="6" fillId="0" borderId="20" xfId="5" applyBorder="1" applyAlignment="1">
      <alignment horizontal="center"/>
    </xf>
    <xf numFmtId="0" fontId="18" fillId="7" borderId="20" xfId="5" applyFont="1" applyFill="1" applyBorder="1" applyAlignment="1">
      <alignment horizontal="center"/>
    </xf>
    <xf numFmtId="0" fontId="15" fillId="0" borderId="21" xfId="5" applyFont="1" applyBorder="1" applyAlignment="1">
      <alignment horizontal="center"/>
    </xf>
    <xf numFmtId="0" fontId="14" fillId="0" borderId="20" xfId="5" applyFont="1" applyBorder="1" applyAlignment="1">
      <alignment horizontal="center"/>
    </xf>
    <xf numFmtId="0" fontId="15" fillId="0" borderId="20" xfId="5" applyFont="1" applyBorder="1" applyAlignment="1">
      <alignment horizontal="center"/>
    </xf>
    <xf numFmtId="169" fontId="35" fillId="0" borderId="0" xfId="5" applyNumberFormat="1" applyFont="1" applyAlignment="1">
      <alignment horizontal="center"/>
    </xf>
    <xf numFmtId="10" fontId="35" fillId="0" borderId="0" xfId="5" applyNumberFormat="1" applyFont="1" applyAlignment="1">
      <alignment horizontal="center"/>
    </xf>
    <xf numFmtId="169" fontId="20" fillId="0" borderId="0" xfId="4" applyNumberFormat="1" applyFont="1"/>
    <xf numFmtId="167" fontId="16" fillId="0" borderId="0" xfId="1" applyNumberFormat="1" applyFont="1" applyFill="1" applyBorder="1"/>
    <xf numFmtId="169" fontId="14" fillId="0" borderId="0" xfId="5" applyNumberFormat="1" applyFont="1"/>
    <xf numFmtId="165" fontId="14" fillId="0" borderId="0" xfId="1" applyFont="1" applyFill="1"/>
    <xf numFmtId="165" fontId="14" fillId="0" borderId="0" xfId="1" applyFont="1" applyFill="1" applyBorder="1"/>
    <xf numFmtId="167" fontId="14" fillId="0" borderId="0" xfId="1" applyNumberFormat="1" applyFont="1" applyFill="1"/>
    <xf numFmtId="0" fontId="9" fillId="0" borderId="0" xfId="5" applyFont="1" applyAlignment="1">
      <alignment horizontal="right"/>
    </xf>
    <xf numFmtId="167" fontId="9" fillId="0" borderId="0" xfId="1" applyNumberFormat="1" applyFont="1" applyFill="1" applyBorder="1"/>
    <xf numFmtId="175" fontId="6" fillId="0" borderId="0" xfId="1" applyNumberFormat="1" applyFont="1" applyFill="1" applyBorder="1"/>
    <xf numFmtId="165" fontId="6" fillId="0" borderId="0" xfId="1" applyFill="1" applyBorder="1"/>
    <xf numFmtId="169" fontId="9" fillId="0" borderId="0" xfId="4" applyNumberFormat="1" applyFont="1" applyFill="1" applyBorder="1"/>
    <xf numFmtId="169" fontId="9" fillId="0" borderId="0" xfId="5" applyNumberFormat="1" applyFont="1"/>
    <xf numFmtId="167" fontId="26" fillId="0" borderId="0" xfId="5" applyNumberFormat="1" applyFont="1" applyAlignment="1">
      <alignment horizontal="center"/>
    </xf>
    <xf numFmtId="173" fontId="9" fillId="0" borderId="0" xfId="5" applyNumberFormat="1" applyFont="1" applyAlignment="1">
      <alignment horizontal="center"/>
    </xf>
    <xf numFmtId="165" fontId="0" fillId="0" borderId="0" xfId="1" applyFont="1" applyFill="1" applyBorder="1"/>
    <xf numFmtId="167" fontId="9" fillId="0" borderId="0" xfId="5" applyNumberFormat="1" applyFont="1" applyAlignment="1">
      <alignment horizontal="center"/>
    </xf>
    <xf numFmtId="167" fontId="6" fillId="0" borderId="0" xfId="1" applyNumberFormat="1" applyFont="1" applyFill="1" applyBorder="1"/>
    <xf numFmtId="168" fontId="6" fillId="0" borderId="0" xfId="1" applyNumberFormat="1" applyFont="1" applyFill="1" applyBorder="1" applyAlignment="1">
      <alignment horizontal="center"/>
    </xf>
    <xf numFmtId="173" fontId="6" fillId="0" borderId="20" xfId="5" applyNumberFormat="1" applyBorder="1" applyAlignment="1">
      <alignment horizontal="center"/>
    </xf>
    <xf numFmtId="167" fontId="15" fillId="0" borderId="20" xfId="5" applyNumberFormat="1" applyFont="1" applyBorder="1" applyAlignment="1">
      <alignment horizontal="center"/>
    </xf>
    <xf numFmtId="0" fontId="6" fillId="0" borderId="0" xfId="5" applyAlignment="1">
      <alignment horizontal="left" indent="1"/>
    </xf>
    <xf numFmtId="0" fontId="17" fillId="0" borderId="0" xfId="5" applyFont="1"/>
    <xf numFmtId="164" fontId="17" fillId="0" borderId="0" xfId="2" applyFont="1" applyFill="1" applyBorder="1" applyAlignment="1">
      <alignment horizontal="center"/>
    </xf>
    <xf numFmtId="165" fontId="11" fillId="0" borderId="0" xfId="1" applyFont="1" applyFill="1" applyBorder="1"/>
    <xf numFmtId="164" fontId="23" fillId="0" borderId="0" xfId="2" applyFont="1" applyFill="1" applyBorder="1" applyAlignment="1">
      <alignment horizontal="center"/>
    </xf>
    <xf numFmtId="10" fontId="17" fillId="0" borderId="0" xfId="4" applyNumberFormat="1" applyFont="1" applyFill="1" applyBorder="1"/>
    <xf numFmtId="0" fontId="6" fillId="0" borderId="0" xfId="5" applyAlignment="1">
      <alignment horizontal="right"/>
    </xf>
    <xf numFmtId="0" fontId="19" fillId="0" borderId="0" xfId="5" applyFont="1" applyAlignment="1">
      <alignment horizontal="center"/>
    </xf>
    <xf numFmtId="167" fontId="9" fillId="0" borderId="0" xfId="5" applyNumberFormat="1" applyFont="1"/>
    <xf numFmtId="0" fontId="11" fillId="0" borderId="0" xfId="0" applyFont="1" applyAlignment="1">
      <alignment horizontal="left" indent="1"/>
    </xf>
    <xf numFmtId="0" fontId="9" fillId="0" borderId="0" xfId="5" applyFont="1" applyAlignment="1">
      <alignment horizontal="left"/>
    </xf>
    <xf numFmtId="167" fontId="26" fillId="0" borderId="0" xfId="1" applyNumberFormat="1" applyFont="1" applyFill="1" applyBorder="1"/>
    <xf numFmtId="167" fontId="9" fillId="0" borderId="0" xfId="1" applyNumberFormat="1" applyFont="1" applyFill="1" applyBorder="1" applyAlignment="1">
      <alignment horizontal="right"/>
    </xf>
    <xf numFmtId="173" fontId="9" fillId="0" borderId="20" xfId="5" applyNumberFormat="1" applyFont="1" applyBorder="1" applyAlignment="1">
      <alignment horizontal="center"/>
    </xf>
    <xf numFmtId="0" fontId="14" fillId="0" borderId="0" xfId="5" applyFont="1" applyAlignment="1">
      <alignment horizontal="center" vertical="center"/>
    </xf>
    <xf numFmtId="173" fontId="6" fillId="0" borderId="0" xfId="5" applyNumberFormat="1"/>
    <xf numFmtId="10" fontId="6" fillId="0" borderId="20" xfId="5" applyNumberFormat="1" applyBorder="1" applyAlignment="1">
      <alignment horizontal="center"/>
    </xf>
    <xf numFmtId="167" fontId="6" fillId="0" borderId="0" xfId="5" applyNumberFormat="1"/>
    <xf numFmtId="0" fontId="29" fillId="0" borderId="0" xfId="5" applyFont="1"/>
    <xf numFmtId="0" fontId="25" fillId="0" borderId="0" xfId="5" applyFont="1" applyAlignment="1">
      <alignment horizontal="center" vertical="center"/>
    </xf>
    <xf numFmtId="170" fontId="6" fillId="0" borderId="0" xfId="1" applyNumberFormat="1" applyFont="1" applyFill="1" applyBorder="1"/>
    <xf numFmtId="0" fontId="6" fillId="0" borderId="21" xfId="5" applyBorder="1" applyAlignment="1">
      <alignment horizontal="center"/>
    </xf>
    <xf numFmtId="0" fontId="9" fillId="5" borderId="20" xfId="5" applyFont="1" applyFill="1" applyBorder="1" applyAlignment="1">
      <alignment horizontal="center"/>
    </xf>
    <xf numFmtId="0" fontId="9" fillId="5" borderId="21" xfId="5" applyFont="1" applyFill="1" applyBorder="1" applyAlignment="1">
      <alignment horizontal="center"/>
    </xf>
    <xf numFmtId="0" fontId="23" fillId="8" borderId="0" xfId="5" applyFont="1" applyFill="1" applyAlignment="1">
      <alignment horizontal="center" vertical="center"/>
    </xf>
    <xf numFmtId="0" fontId="9" fillId="3" borderId="0" xfId="5" applyFont="1" applyFill="1"/>
    <xf numFmtId="168" fontId="14" fillId="3" borderId="0" xfId="1" applyNumberFormat="1" applyFont="1" applyFill="1" applyBorder="1" applyAlignment="1">
      <alignment horizontal="center" vertical="center"/>
    </xf>
    <xf numFmtId="0" fontId="6" fillId="0" borderId="24" xfId="5" applyBorder="1"/>
    <xf numFmtId="0" fontId="30" fillId="0" borderId="0" xfId="5" applyFont="1"/>
    <xf numFmtId="169" fontId="32" fillId="6" borderId="24" xfId="4" applyNumberFormat="1" applyFont="1" applyFill="1" applyBorder="1" applyAlignment="1">
      <alignment horizontal="center" vertical="center"/>
    </xf>
    <xf numFmtId="0" fontId="39" fillId="0" borderId="0" xfId="5" applyFont="1"/>
    <xf numFmtId="176" fontId="33" fillId="6" borderId="0" xfId="5" applyNumberFormat="1" applyFont="1" applyFill="1" applyAlignment="1">
      <alignment vertical="center" wrapText="1"/>
    </xf>
    <xf numFmtId="2" fontId="33" fillId="0" borderId="0" xfId="5" applyNumberFormat="1" applyFont="1" applyAlignment="1">
      <alignment horizontal="center" vertical="top" wrapText="1"/>
    </xf>
    <xf numFmtId="4" fontId="6" fillId="3" borderId="0" xfId="5" applyNumberFormat="1" applyFill="1"/>
    <xf numFmtId="165" fontId="14" fillId="0" borderId="0" xfId="1" applyFont="1"/>
    <xf numFmtId="177" fontId="9" fillId="3" borderId="0" xfId="2" applyNumberFormat="1" applyFont="1" applyFill="1"/>
    <xf numFmtId="169" fontId="6" fillId="0" borderId="0" xfId="4" applyNumberFormat="1" applyFill="1" applyBorder="1"/>
    <xf numFmtId="2" fontId="32" fillId="0" borderId="0" xfId="5" applyNumberFormat="1" applyFont="1" applyAlignment="1">
      <alignment horizontal="center" vertical="center" wrapText="1"/>
    </xf>
    <xf numFmtId="0" fontId="33" fillId="6" borderId="0" xfId="5" applyFont="1" applyFill="1" applyAlignment="1">
      <alignment horizontal="center" vertical="top" wrapText="1"/>
    </xf>
    <xf numFmtId="0" fontId="31" fillId="0" borderId="0" xfId="5" applyFont="1"/>
    <xf numFmtId="0" fontId="41" fillId="0" borderId="0" xfId="5" applyFont="1"/>
    <xf numFmtId="169" fontId="41" fillId="0" borderId="0" xfId="5" applyNumberFormat="1" applyFont="1"/>
    <xf numFmtId="9" fontId="41" fillId="0" borderId="0" xfId="8" applyFont="1" applyFill="1" applyBorder="1"/>
    <xf numFmtId="0" fontId="31" fillId="0" borderId="0" xfId="5" applyFont="1" applyAlignment="1">
      <alignment horizontal="left"/>
    </xf>
    <xf numFmtId="0" fontId="31" fillId="0" borderId="0" xfId="5" applyFont="1" applyAlignment="1">
      <alignment horizontal="center"/>
    </xf>
    <xf numFmtId="10" fontId="41" fillId="0" borderId="0" xfId="8" applyNumberFormat="1" applyFont="1" applyFill="1" applyBorder="1"/>
    <xf numFmtId="165" fontId="9" fillId="0" borderId="0" xfId="1" applyFont="1" applyFill="1" applyBorder="1" applyAlignment="1">
      <alignment horizontal="center" vertical="center"/>
    </xf>
    <xf numFmtId="169" fontId="38" fillId="0" borderId="0" xfId="6" applyNumberFormat="1" applyFont="1" applyAlignment="1">
      <alignment horizontal="center" vertical="center"/>
    </xf>
    <xf numFmtId="2" fontId="6" fillId="0" borderId="0" xfId="5" applyNumberFormat="1" applyAlignment="1">
      <alignment horizontal="center" vertical="center"/>
    </xf>
    <xf numFmtId="10" fontId="14" fillId="0" borderId="20" xfId="5" applyNumberFormat="1" applyFont="1" applyBorder="1" applyAlignment="1">
      <alignment horizontal="center"/>
    </xf>
    <xf numFmtId="167" fontId="44" fillId="0" borderId="20" xfId="1" applyNumberFormat="1" applyFont="1" applyFill="1" applyBorder="1" applyAlignment="1">
      <alignment horizontal="center"/>
    </xf>
    <xf numFmtId="165" fontId="15" fillId="0" borderId="0" xfId="1" applyFont="1" applyFill="1" applyBorder="1" applyAlignment="1">
      <alignment horizontal="center" vertical="center"/>
    </xf>
    <xf numFmtId="167" fontId="15" fillId="0" borderId="20" xfId="1" applyNumberFormat="1" applyFont="1" applyFill="1" applyBorder="1" applyAlignment="1">
      <alignment horizontal="center"/>
    </xf>
    <xf numFmtId="165" fontId="15" fillId="0" borderId="20" xfId="1" applyFont="1" applyFill="1" applyBorder="1" applyAlignment="1">
      <alignment horizontal="center"/>
    </xf>
    <xf numFmtId="9" fontId="15" fillId="0" borderId="20" xfId="5" applyNumberFormat="1" applyFont="1" applyBorder="1" applyAlignment="1">
      <alignment horizontal="center"/>
    </xf>
    <xf numFmtId="165" fontId="9" fillId="0" borderId="20" xfId="1" applyFont="1" applyFill="1" applyBorder="1" applyAlignment="1">
      <alignment horizontal="center"/>
    </xf>
    <xf numFmtId="164" fontId="46" fillId="0" borderId="20" xfId="2" applyFont="1" applyBorder="1" applyAlignment="1">
      <alignment horizontal="center"/>
    </xf>
    <xf numFmtId="10" fontId="9" fillId="0" borderId="20" xfId="5" applyNumberFormat="1" applyFont="1" applyBorder="1" applyAlignment="1">
      <alignment horizontal="center"/>
    </xf>
    <xf numFmtId="0" fontId="19" fillId="3" borderId="0" xfId="5" applyFont="1" applyFill="1" applyAlignment="1">
      <alignment horizontal="center" vertical="center"/>
    </xf>
    <xf numFmtId="173" fontId="15" fillId="3" borderId="0" xfId="5" applyNumberFormat="1" applyFont="1" applyFill="1"/>
    <xf numFmtId="174" fontId="9" fillId="0" borderId="0" xfId="5" applyNumberFormat="1" applyFont="1"/>
    <xf numFmtId="174" fontId="6" fillId="0" borderId="0" xfId="5" applyNumberFormat="1"/>
    <xf numFmtId="174" fontId="24" fillId="0" borderId="0" xfId="4" applyNumberFormat="1" applyFont="1" applyFill="1" applyBorder="1"/>
    <xf numFmtId="174" fontId="26" fillId="0" borderId="0" xfId="1" applyNumberFormat="1" applyFont="1" applyFill="1" applyBorder="1" applyAlignment="1">
      <alignment horizontal="center"/>
    </xf>
    <xf numFmtId="174" fontId="9" fillId="0" borderId="0" xfId="1" applyNumberFormat="1" applyFont="1" applyFill="1" applyBorder="1"/>
    <xf numFmtId="0" fontId="9" fillId="0" borderId="20" xfId="5" applyFont="1" applyBorder="1"/>
    <xf numFmtId="0" fontId="6" fillId="0" borderId="20" xfId="5" applyBorder="1"/>
    <xf numFmtId="0" fontId="11" fillId="0" borderId="20" xfId="5" applyFont="1" applyBorder="1"/>
    <xf numFmtId="0" fontId="47" fillId="3" borderId="0" xfId="5" applyFont="1" applyFill="1"/>
    <xf numFmtId="0" fontId="48" fillId="3" borderId="20" xfId="5" applyFont="1" applyFill="1" applyBorder="1" applyAlignment="1">
      <alignment horizontal="center"/>
    </xf>
    <xf numFmtId="173" fontId="48" fillId="3" borderId="0" xfId="5" applyNumberFormat="1" applyFont="1" applyFill="1"/>
    <xf numFmtId="0" fontId="49" fillId="0" borderId="0" xfId="5" applyFont="1"/>
    <xf numFmtId="0" fontId="48" fillId="0" borderId="20" xfId="5" applyFont="1" applyBorder="1" applyAlignment="1">
      <alignment horizontal="center"/>
    </xf>
    <xf numFmtId="0" fontId="51" fillId="0" borderId="0" xfId="5" applyFont="1"/>
    <xf numFmtId="167" fontId="48" fillId="0" borderId="20" xfId="5" applyNumberFormat="1" applyFont="1" applyBorder="1" applyAlignment="1">
      <alignment horizontal="center"/>
    </xf>
    <xf numFmtId="167" fontId="49" fillId="0" borderId="0" xfId="1" applyNumberFormat="1" applyFont="1" applyFill="1" applyBorder="1"/>
    <xf numFmtId="174" fontId="51" fillId="0" borderId="0" xfId="5" applyNumberFormat="1" applyFont="1"/>
    <xf numFmtId="174" fontId="49" fillId="0" borderId="0" xfId="5" applyNumberFormat="1" applyFont="1"/>
    <xf numFmtId="174" fontId="52" fillId="0" borderId="0" xfId="4" applyNumberFormat="1" applyFont="1" applyFill="1" applyBorder="1"/>
    <xf numFmtId="174" fontId="53" fillId="0" borderId="0" xfId="1" applyNumberFormat="1" applyFont="1" applyFill="1" applyBorder="1" applyAlignment="1">
      <alignment horizontal="center"/>
    </xf>
    <xf numFmtId="174" fontId="51" fillId="0" borderId="0" xfId="1" applyNumberFormat="1" applyFont="1" applyFill="1" applyBorder="1"/>
    <xf numFmtId="169" fontId="9" fillId="0" borderId="0" xfId="4" applyNumberFormat="1" applyFont="1" applyBorder="1" applyAlignment="1">
      <alignment horizontal="center"/>
    </xf>
    <xf numFmtId="0" fontId="15" fillId="0" borderId="13" xfId="5" applyFont="1" applyBorder="1" applyAlignment="1">
      <alignment horizontal="center"/>
    </xf>
    <xf numFmtId="0" fontId="23" fillId="3" borderId="0" xfId="5" applyFont="1" applyFill="1" applyAlignment="1">
      <alignment horizontal="center" vertical="center"/>
    </xf>
    <xf numFmtId="0" fontId="18" fillId="3" borderId="20" xfId="5" applyFont="1" applyFill="1" applyBorder="1" applyAlignment="1">
      <alignment horizontal="center"/>
    </xf>
    <xf numFmtId="9" fontId="15" fillId="0" borderId="0" xfId="4" applyFont="1" applyFill="1" applyBorder="1" applyAlignment="1">
      <alignment horizontal="center" vertical="center"/>
    </xf>
    <xf numFmtId="174" fontId="15" fillId="0" borderId="0" xfId="5" applyNumberFormat="1" applyFont="1"/>
    <xf numFmtId="174" fontId="9" fillId="0" borderId="0" xfId="5" applyNumberFormat="1" applyFont="1" applyAlignment="1">
      <alignment horizontal="center"/>
    </xf>
    <xf numFmtId="174" fontId="6" fillId="0" borderId="0" xfId="1" applyNumberFormat="1" applyFont="1" applyFill="1" applyBorder="1"/>
    <xf numFmtId="174" fontId="6" fillId="0" borderId="0" xfId="1" applyNumberFormat="1" applyFont="1" applyFill="1" applyBorder="1" applyAlignment="1">
      <alignment horizontal="center"/>
    </xf>
    <xf numFmtId="174" fontId="0" fillId="0" borderId="0" xfId="1" applyNumberFormat="1" applyFont="1" applyFill="1" applyBorder="1"/>
    <xf numFmtId="174" fontId="17" fillId="0" borderId="0" xfId="2" applyNumberFormat="1" applyFont="1" applyFill="1" applyBorder="1" applyAlignment="1">
      <alignment horizontal="center"/>
    </xf>
    <xf numFmtId="174" fontId="11" fillId="0" borderId="0" xfId="1" applyNumberFormat="1" applyFont="1" applyFill="1" applyBorder="1"/>
    <xf numFmtId="174" fontId="11" fillId="0" borderId="0" xfId="5" applyNumberFormat="1" applyFont="1"/>
    <xf numFmtId="174" fontId="23" fillId="0" borderId="0" xfId="2" applyNumberFormat="1" applyFont="1" applyFill="1" applyBorder="1" applyAlignment="1">
      <alignment horizontal="center"/>
    </xf>
    <xf numFmtId="174" fontId="17" fillId="0" borderId="0" xfId="4" applyNumberFormat="1" applyFont="1" applyFill="1" applyBorder="1"/>
    <xf numFmtId="173" fontId="48" fillId="0" borderId="0" xfId="5" applyNumberFormat="1" applyFont="1"/>
    <xf numFmtId="174" fontId="48" fillId="0" borderId="0" xfId="5" applyNumberFormat="1" applyFont="1"/>
    <xf numFmtId="174" fontId="51" fillId="0" borderId="0" xfId="5" applyNumberFormat="1" applyFont="1" applyAlignment="1">
      <alignment horizontal="center"/>
    </xf>
    <xf numFmtId="174" fontId="53" fillId="0" borderId="0" xfId="5" applyNumberFormat="1" applyFont="1" applyAlignment="1">
      <alignment horizontal="center"/>
    </xf>
    <xf numFmtId="174" fontId="49" fillId="0" borderId="0" xfId="1" applyNumberFormat="1" applyFont="1" applyFill="1" applyBorder="1"/>
    <xf numFmtId="174" fontId="9" fillId="0" borderId="0" xfId="4" applyNumberFormat="1" applyFont="1" applyBorder="1" applyAlignment="1">
      <alignment horizontal="center"/>
    </xf>
    <xf numFmtId="9" fontId="6" fillId="0" borderId="20" xfId="4" applyBorder="1"/>
    <xf numFmtId="10" fontId="6" fillId="0" borderId="20" xfId="5" applyNumberFormat="1" applyBorder="1"/>
    <xf numFmtId="0" fontId="9" fillId="3" borderId="0" xfId="5" applyFont="1" applyFill="1" applyAlignment="1">
      <alignment horizontal="center" vertical="center"/>
    </xf>
    <xf numFmtId="4" fontId="6" fillId="3" borderId="20" xfId="5" applyNumberFormat="1" applyFill="1" applyBorder="1" applyAlignment="1">
      <alignment horizontal="center"/>
    </xf>
    <xf numFmtId="0" fontId="14" fillId="0" borderId="0" xfId="5" applyFont="1" applyAlignment="1">
      <alignment horizontal="left"/>
    </xf>
    <xf numFmtId="10" fontId="29" fillId="0" borderId="0" xfId="4" applyNumberFormat="1" applyFont="1" applyFill="1" applyBorder="1" applyAlignment="1"/>
    <xf numFmtId="10" fontId="43" fillId="0" borderId="0" xfId="4" applyNumberFormat="1" applyFont="1" applyFill="1" applyBorder="1" applyAlignment="1"/>
    <xf numFmtId="0" fontId="15" fillId="9" borderId="0" xfId="5" applyFont="1" applyFill="1" applyAlignment="1">
      <alignment horizontal="left"/>
    </xf>
    <xf numFmtId="0" fontId="6" fillId="9" borderId="0" xfId="5" applyFill="1"/>
    <xf numFmtId="173" fontId="15" fillId="0" borderId="0" xfId="5" applyNumberFormat="1" applyFont="1" applyAlignment="1">
      <alignment horizontal="center"/>
    </xf>
    <xf numFmtId="0" fontId="9" fillId="9" borderId="0" xfId="5" applyFont="1" applyFill="1" applyAlignment="1">
      <alignment horizontal="center"/>
    </xf>
    <xf numFmtId="0" fontId="29" fillId="9" borderId="4" xfId="5" applyFont="1" applyFill="1" applyBorder="1" applyAlignment="1">
      <alignment horizontal="right"/>
    </xf>
    <xf numFmtId="9" fontId="29" fillId="9" borderId="5" xfId="4" applyFont="1" applyFill="1" applyBorder="1" applyAlignment="1">
      <alignment horizontal="right" vertical="center"/>
    </xf>
    <xf numFmtId="9" fontId="29" fillId="9" borderId="6" xfId="4" applyFont="1" applyFill="1" applyBorder="1" applyAlignment="1">
      <alignment horizontal="right" vertical="center"/>
    </xf>
    <xf numFmtId="0" fontId="40" fillId="9" borderId="0" xfId="6" applyFont="1" applyFill="1"/>
    <xf numFmtId="0" fontId="40" fillId="9" borderId="0" xfId="6" applyFont="1" applyFill="1" applyAlignment="1">
      <alignment horizontal="center" vertical="center"/>
    </xf>
    <xf numFmtId="0" fontId="40" fillId="9" borderId="0" xfId="6" applyFont="1" applyFill="1" applyAlignment="1">
      <alignment horizontal="center"/>
    </xf>
    <xf numFmtId="0" fontId="21" fillId="9" borderId="0" xfId="5" applyFont="1" applyFill="1" applyAlignment="1">
      <alignment horizontal="center"/>
    </xf>
    <xf numFmtId="0" fontId="9" fillId="9" borderId="0" xfId="5" applyFont="1" applyFill="1"/>
    <xf numFmtId="0" fontId="18" fillId="3" borderId="0" xfId="5" applyFont="1" applyFill="1" applyAlignment="1">
      <alignment horizontal="center" vertical="center"/>
    </xf>
    <xf numFmtId="0" fontId="40" fillId="3" borderId="0" xfId="6" applyFont="1" applyFill="1"/>
    <xf numFmtId="0" fontId="40" fillId="3" borderId="0" xfId="6" applyFont="1" applyFill="1" applyAlignment="1">
      <alignment horizontal="center"/>
    </xf>
    <xf numFmtId="0" fontId="21" fillId="3" borderId="0" xfId="5" applyFont="1" applyFill="1" applyAlignment="1">
      <alignment horizontal="center"/>
    </xf>
    <xf numFmtId="0" fontId="9" fillId="12" borderId="0" xfId="0" applyFont="1" applyFill="1"/>
    <xf numFmtId="0" fontId="0" fillId="0" borderId="12" xfId="0" applyBorder="1"/>
    <xf numFmtId="0" fontId="55" fillId="13" borderId="0" xfId="0" applyFont="1" applyFill="1"/>
    <xf numFmtId="0" fontId="55" fillId="13" borderId="0" xfId="0" applyFont="1" applyFill="1" applyAlignment="1">
      <alignment horizontal="center"/>
    </xf>
    <xf numFmtId="0" fontId="55" fillId="13" borderId="19" xfId="0" applyFont="1" applyFill="1" applyBorder="1" applyAlignment="1">
      <alignment horizontal="center"/>
    </xf>
    <xf numFmtId="0" fontId="9" fillId="14" borderId="0" xfId="0" applyFont="1" applyFill="1"/>
    <xf numFmtId="167" fontId="9" fillId="14" borderId="0" xfId="1" applyNumberFormat="1" applyFont="1" applyFill="1" applyAlignment="1">
      <alignment horizontal="center"/>
    </xf>
    <xf numFmtId="167" fontId="9" fillId="14" borderId="20" xfId="1" applyNumberFormat="1" applyFont="1" applyFill="1" applyBorder="1" applyAlignment="1">
      <alignment horizontal="center"/>
    </xf>
    <xf numFmtId="0" fontId="6" fillId="5" borderId="0" xfId="0" applyFont="1" applyFill="1"/>
    <xf numFmtId="174" fontId="0" fillId="5" borderId="0" xfId="0" applyNumberFormat="1" applyFill="1" applyAlignment="1">
      <alignment horizontal="right"/>
    </xf>
    <xf numFmtId="174" fontId="0" fillId="0" borderId="10" xfId="0" applyNumberFormat="1" applyBorder="1" applyAlignment="1">
      <alignment horizontal="right"/>
    </xf>
    <xf numFmtId="174" fontId="0" fillId="0" borderId="0" xfId="0" applyNumberFormat="1" applyAlignment="1">
      <alignment horizontal="right"/>
    </xf>
    <xf numFmtId="0" fontId="9" fillId="5" borderId="0" xfId="0" applyFont="1" applyFill="1"/>
    <xf numFmtId="174" fontId="9" fillId="5" borderId="0" xfId="0" applyNumberFormat="1" applyFont="1" applyFill="1" applyAlignment="1">
      <alignment horizontal="right"/>
    </xf>
    <xf numFmtId="167" fontId="9" fillId="14" borderId="21" xfId="1" applyNumberFormat="1" applyFont="1" applyFill="1" applyBorder="1" applyAlignment="1">
      <alignment horizontal="center"/>
    </xf>
    <xf numFmtId="0" fontId="0" fillId="0" borderId="1" xfId="0" applyBorder="1"/>
    <xf numFmtId="0" fontId="0" fillId="0" borderId="1" xfId="0" applyBorder="1" applyAlignment="1">
      <alignment horizontal="right"/>
    </xf>
    <xf numFmtId="174" fontId="0" fillId="0" borderId="1" xfId="0" applyNumberFormat="1" applyBorder="1" applyAlignment="1">
      <alignment horizontal="right"/>
    </xf>
    <xf numFmtId="174" fontId="0" fillId="0" borderId="9" xfId="0" applyNumberFormat="1" applyBorder="1" applyAlignment="1">
      <alignment horizontal="right"/>
    </xf>
    <xf numFmtId="0" fontId="0" fillId="0" borderId="12" xfId="0" applyBorder="1" applyAlignment="1">
      <alignment horizontal="right"/>
    </xf>
    <xf numFmtId="174" fontId="0" fillId="0" borderId="12" xfId="0" applyNumberFormat="1" applyBorder="1" applyAlignment="1">
      <alignment horizontal="right"/>
    </xf>
    <xf numFmtId="174" fontId="0" fillId="0" borderId="26" xfId="0" applyNumberFormat="1" applyBorder="1" applyAlignment="1">
      <alignment horizontal="right"/>
    </xf>
    <xf numFmtId="0" fontId="9" fillId="0" borderId="0" xfId="0" applyFont="1" applyAlignment="1">
      <alignment horizontal="right"/>
    </xf>
    <xf numFmtId="0" fontId="0" fillId="0" borderId="0" xfId="0" applyAlignment="1">
      <alignment horizontal="right"/>
    </xf>
    <xf numFmtId="167" fontId="0" fillId="0" borderId="0" xfId="0" applyNumberFormat="1" applyAlignment="1">
      <alignment horizontal="right" vertical="center"/>
    </xf>
    <xf numFmtId="174" fontId="9" fillId="5" borderId="0" xfId="0" applyNumberFormat="1" applyFont="1" applyFill="1" applyAlignment="1">
      <alignment horizontal="right" vertical="center"/>
    </xf>
    <xf numFmtId="0" fontId="57" fillId="0" borderId="0" xfId="0" applyFont="1"/>
    <xf numFmtId="174" fontId="57" fillId="0" borderId="0" xfId="0" applyNumberFormat="1" applyFont="1" applyAlignment="1">
      <alignment horizontal="right"/>
    </xf>
    <xf numFmtId="167" fontId="6" fillId="0" borderId="0" xfId="0" applyNumberFormat="1" applyFont="1" applyAlignment="1">
      <alignment horizontal="right" vertical="center"/>
    </xf>
    <xf numFmtId="0" fontId="6" fillId="0" borderId="0" xfId="0" applyFont="1" applyAlignment="1">
      <alignment horizontal="right" vertical="center"/>
    </xf>
    <xf numFmtId="167" fontId="6" fillId="3" borderId="0" xfId="1" applyNumberFormat="1" applyFont="1" applyFill="1" applyAlignment="1">
      <alignment horizontal="center"/>
    </xf>
    <xf numFmtId="0" fontId="0" fillId="0" borderId="1" xfId="0" applyBorder="1" applyAlignment="1">
      <alignment horizontal="right" vertical="center"/>
    </xf>
    <xf numFmtId="0" fontId="6" fillId="0" borderId="0" xfId="0" applyFont="1" applyAlignment="1">
      <alignment horizontal="right"/>
    </xf>
    <xf numFmtId="0" fontId="0" fillId="0" borderId="10" xfId="0" applyBorder="1" applyAlignment="1">
      <alignment horizontal="right"/>
    </xf>
    <xf numFmtId="0" fontId="9" fillId="5" borderId="0" xfId="0" applyFont="1" applyFill="1" applyAlignment="1">
      <alignment horizontal="right"/>
    </xf>
    <xf numFmtId="0" fontId="6" fillId="0" borderId="1" xfId="0" applyFont="1" applyBorder="1"/>
    <xf numFmtId="0" fontId="6" fillId="0" borderId="1" xfId="0" applyFont="1" applyBorder="1" applyAlignment="1">
      <alignment horizontal="right"/>
    </xf>
    <xf numFmtId="0" fontId="0" fillId="0" borderId="9" xfId="0" applyBorder="1" applyAlignment="1">
      <alignment horizontal="right"/>
    </xf>
    <xf numFmtId="0" fontId="6" fillId="0" borderId="0" xfId="0" quotePrefix="1" applyFont="1"/>
    <xf numFmtId="174" fontId="6" fillId="5" borderId="0" xfId="1" applyNumberFormat="1" applyFont="1" applyFill="1" applyBorder="1"/>
    <xf numFmtId="174" fontId="6" fillId="3" borderId="0" xfId="1" applyNumberFormat="1" applyFont="1" applyFill="1" applyBorder="1"/>
    <xf numFmtId="174" fontId="9" fillId="15" borderId="0" xfId="1" applyNumberFormat="1" applyFont="1" applyFill="1" applyBorder="1"/>
    <xf numFmtId="9" fontId="44" fillId="0" borderId="20" xfId="4" applyFont="1" applyFill="1" applyBorder="1" applyAlignment="1">
      <alignment horizontal="center"/>
    </xf>
    <xf numFmtId="174" fontId="9" fillId="3" borderId="0" xfId="1" applyNumberFormat="1" applyFont="1" applyFill="1" applyBorder="1"/>
    <xf numFmtId="0" fontId="6" fillId="3" borderId="22" xfId="5" applyFill="1" applyBorder="1"/>
    <xf numFmtId="0" fontId="6" fillId="3" borderId="25" xfId="5" applyFill="1" applyBorder="1"/>
    <xf numFmtId="0" fontId="6" fillId="3" borderId="23" xfId="5" applyFill="1" applyBorder="1"/>
    <xf numFmtId="0" fontId="6" fillId="3" borderId="15" xfId="5" applyFill="1" applyBorder="1"/>
    <xf numFmtId="174" fontId="6" fillId="3" borderId="15" xfId="5" applyNumberFormat="1" applyFill="1" applyBorder="1"/>
    <xf numFmtId="168" fontId="6" fillId="0" borderId="15" xfId="5" applyNumberFormat="1" applyBorder="1"/>
    <xf numFmtId="174" fontId="6" fillId="3" borderId="17" xfId="5" applyNumberFormat="1" applyFill="1" applyBorder="1"/>
    <xf numFmtId="0" fontId="15" fillId="10" borderId="4" xfId="5" applyFont="1" applyFill="1" applyBorder="1" applyAlignment="1">
      <alignment horizontal="left"/>
    </xf>
    <xf numFmtId="0" fontId="15" fillId="10" borderId="5" xfId="5" applyFont="1" applyFill="1" applyBorder="1" applyAlignment="1">
      <alignment horizontal="right"/>
    </xf>
    <xf numFmtId="9" fontId="15" fillId="10" borderId="5" xfId="4" applyFont="1" applyFill="1" applyBorder="1" applyAlignment="1">
      <alignment horizontal="center" vertical="center"/>
    </xf>
    <xf numFmtId="9" fontId="15" fillId="10" borderId="6" xfId="4" applyFont="1" applyFill="1" applyBorder="1" applyAlignment="1">
      <alignment horizontal="center" vertical="center"/>
    </xf>
    <xf numFmtId="0" fontId="33" fillId="3" borderId="0" xfId="5" applyFont="1" applyFill="1" applyAlignment="1">
      <alignment vertical="top" wrapText="1"/>
    </xf>
    <xf numFmtId="2" fontId="32" fillId="3" borderId="0" xfId="5" applyNumberFormat="1" applyFont="1" applyFill="1" applyAlignment="1">
      <alignment horizontal="center" vertical="center" wrapText="1"/>
    </xf>
    <xf numFmtId="0" fontId="6" fillId="0" borderId="23" xfId="5" applyBorder="1"/>
    <xf numFmtId="0" fontId="6" fillId="0" borderId="15" xfId="5" applyBorder="1"/>
    <xf numFmtId="0" fontId="6" fillId="0" borderId="17" xfId="5" applyBorder="1"/>
    <xf numFmtId="0" fontId="33" fillId="10" borderId="0" xfId="5" applyFont="1" applyFill="1" applyAlignment="1">
      <alignment vertical="top" wrapText="1"/>
    </xf>
    <xf numFmtId="9" fontId="33" fillId="10" borderId="0" xfId="4" applyFont="1" applyFill="1" applyBorder="1" applyAlignment="1">
      <alignment horizontal="center" vertical="center" wrapText="1"/>
    </xf>
    <xf numFmtId="9" fontId="33" fillId="10" borderId="0" xfId="5" applyNumberFormat="1" applyFont="1" applyFill="1" applyAlignment="1">
      <alignment horizontal="center" vertical="center" wrapText="1"/>
    </xf>
    <xf numFmtId="9" fontId="33" fillId="6" borderId="0" xfId="4" applyFont="1" applyFill="1" applyAlignment="1">
      <alignment horizontal="center" vertical="center" wrapText="1"/>
    </xf>
    <xf numFmtId="0" fontId="59" fillId="17" borderId="0" xfId="5" applyFont="1" applyFill="1" applyAlignment="1">
      <alignment vertical="center" wrapText="1"/>
    </xf>
    <xf numFmtId="0" fontId="59" fillId="17" borderId="0" xfId="5" applyFont="1" applyFill="1" applyAlignment="1">
      <alignment horizontal="center" vertical="center" wrapText="1"/>
    </xf>
    <xf numFmtId="9" fontId="59" fillId="17" borderId="0" xfId="4" applyFont="1" applyFill="1" applyAlignment="1">
      <alignment horizontal="center" vertical="center" wrapText="1"/>
    </xf>
    <xf numFmtId="174" fontId="59" fillId="17" borderId="0" xfId="5" applyNumberFormat="1" applyFont="1" applyFill="1" applyAlignment="1">
      <alignment horizontal="center" vertical="center" wrapText="1"/>
    </xf>
    <xf numFmtId="0" fontId="18" fillId="17" borderId="0" xfId="5" applyFont="1" applyFill="1"/>
    <xf numFmtId="0" fontId="58" fillId="18" borderId="0" xfId="9" applyFill="1"/>
    <xf numFmtId="0" fontId="0" fillId="18" borderId="0" xfId="0" applyFill="1"/>
    <xf numFmtId="0" fontId="40" fillId="19" borderId="0" xfId="6" applyFont="1" applyFill="1"/>
    <xf numFmtId="0" fontId="61" fillId="4" borderId="0" xfId="5" applyFont="1" applyFill="1"/>
    <xf numFmtId="0" fontId="62" fillId="4" borderId="0" xfId="5" applyFont="1" applyFill="1"/>
    <xf numFmtId="0" fontId="60" fillId="9" borderId="0" xfId="5" applyFont="1" applyFill="1"/>
    <xf numFmtId="0" fontId="42" fillId="9" borderId="0" xfId="5" applyFont="1" applyFill="1"/>
    <xf numFmtId="0" fontId="42" fillId="9" borderId="0" xfId="5" applyFont="1" applyFill="1" applyAlignment="1">
      <alignment horizontal="center"/>
    </xf>
    <xf numFmtId="0" fontId="42" fillId="0" borderId="0" xfId="5" applyFont="1"/>
    <xf numFmtId="0" fontId="60" fillId="5" borderId="0" xfId="5" applyFont="1" applyFill="1" applyAlignment="1">
      <alignment horizontal="center" vertical="center"/>
    </xf>
    <xf numFmtId="0" fontId="60" fillId="16" borderId="0" xfId="5" applyFont="1" applyFill="1" applyAlignment="1">
      <alignment horizontal="center" vertical="center"/>
    </xf>
    <xf numFmtId="0" fontId="60" fillId="9" borderId="0" xfId="5" applyFont="1" applyFill="1" applyAlignment="1">
      <alignment horizontal="center"/>
    </xf>
    <xf numFmtId="0" fontId="33" fillId="18" borderId="0" xfId="5" applyFont="1" applyFill="1" applyAlignment="1">
      <alignment horizontal="center" vertical="center" wrapText="1"/>
    </xf>
    <xf numFmtId="9" fontId="33" fillId="18" borderId="0" xfId="4" applyFont="1" applyFill="1" applyAlignment="1">
      <alignment horizontal="center" vertical="center" wrapText="1"/>
    </xf>
    <xf numFmtId="0" fontId="9" fillId="5" borderId="0" xfId="5" applyFont="1" applyFill="1" applyAlignment="1">
      <alignment horizontal="center" vertical="center"/>
    </xf>
    <xf numFmtId="0" fontId="6" fillId="13" borderId="0" xfId="5" applyFill="1"/>
    <xf numFmtId="164" fontId="6" fillId="13" borderId="0" xfId="2" applyFill="1" applyBorder="1"/>
    <xf numFmtId="169" fontId="6" fillId="13" borderId="0" xfId="5" applyNumberFormat="1" applyFill="1"/>
    <xf numFmtId="0" fontId="9" fillId="13" borderId="0" xfId="5" applyFont="1" applyFill="1"/>
    <xf numFmtId="164" fontId="9" fillId="13" borderId="0" xfId="2" applyFont="1" applyFill="1" applyBorder="1"/>
    <xf numFmtId="0" fontId="0" fillId="3" borderId="0" xfId="0" applyFill="1"/>
    <xf numFmtId="0" fontId="9" fillId="3" borderId="0" xfId="0" applyFont="1" applyFill="1"/>
    <xf numFmtId="167" fontId="0" fillId="3" borderId="0" xfId="1" applyNumberFormat="1" applyFont="1" applyFill="1" applyAlignment="1">
      <alignment horizontal="center"/>
    </xf>
    <xf numFmtId="167" fontId="0" fillId="3" borderId="20" xfId="1" applyNumberFormat="1" applyFont="1" applyFill="1" applyBorder="1" applyAlignment="1">
      <alignment horizontal="center"/>
    </xf>
    <xf numFmtId="0" fontId="0" fillId="3" borderId="13" xfId="0" applyFill="1" applyBorder="1"/>
    <xf numFmtId="0" fontId="6" fillId="3" borderId="0" xfId="0" applyFont="1" applyFill="1"/>
    <xf numFmtId="174" fontId="0" fillId="3" borderId="10" xfId="0" applyNumberFormat="1" applyFill="1" applyBorder="1"/>
    <xf numFmtId="174" fontId="0" fillId="3" borderId="0" xfId="0" applyNumberFormat="1" applyFill="1" applyAlignment="1">
      <alignment horizontal="right"/>
    </xf>
    <xf numFmtId="174" fontId="0" fillId="3" borderId="10" xfId="0" applyNumberFormat="1" applyFill="1" applyBorder="1" applyAlignment="1">
      <alignment horizontal="right"/>
    </xf>
    <xf numFmtId="0" fontId="0" fillId="3" borderId="16" xfId="0" applyFill="1" applyBorder="1"/>
    <xf numFmtId="0" fontId="0" fillId="3" borderId="1" xfId="0" applyFill="1" applyBorder="1"/>
    <xf numFmtId="0" fontId="0" fillId="3" borderId="1" xfId="0" applyFill="1" applyBorder="1" applyAlignment="1">
      <alignment horizontal="right"/>
    </xf>
    <xf numFmtId="174" fontId="0" fillId="3" borderId="1" xfId="0" applyNumberFormat="1" applyFill="1" applyBorder="1" applyAlignment="1">
      <alignment horizontal="right"/>
    </xf>
    <xf numFmtId="174" fontId="0" fillId="3" borderId="9" xfId="0" applyNumberFormat="1" applyFill="1" applyBorder="1" applyAlignment="1">
      <alignment horizontal="right"/>
    </xf>
    <xf numFmtId="0" fontId="0" fillId="3" borderId="11" xfId="0" applyFill="1" applyBorder="1"/>
    <xf numFmtId="167" fontId="0" fillId="3" borderId="0" xfId="0" applyNumberFormat="1" applyFill="1"/>
    <xf numFmtId="167" fontId="0" fillId="3" borderId="13" xfId="0" applyNumberFormat="1" applyFill="1" applyBorder="1"/>
    <xf numFmtId="169" fontId="11" fillId="3" borderId="0" xfId="4" applyNumberFormat="1" applyFont="1" applyFill="1"/>
    <xf numFmtId="169" fontId="11" fillId="3" borderId="13" xfId="4" applyNumberFormat="1" applyFont="1" applyFill="1" applyBorder="1"/>
    <xf numFmtId="169" fontId="56" fillId="3" borderId="0" xfId="4" applyNumberFormat="1" applyFont="1" applyFill="1"/>
    <xf numFmtId="169" fontId="56" fillId="3" borderId="13" xfId="4" applyNumberFormat="1" applyFont="1" applyFill="1" applyBorder="1"/>
    <xf numFmtId="169" fontId="17" fillId="3" borderId="0" xfId="4" applyNumberFormat="1" applyFont="1" applyFill="1"/>
    <xf numFmtId="169" fontId="17" fillId="3" borderId="13" xfId="4" applyNumberFormat="1" applyFont="1" applyFill="1" applyBorder="1"/>
    <xf numFmtId="0" fontId="9" fillId="3" borderId="0" xfId="0" applyFont="1" applyFill="1" applyAlignment="1">
      <alignment horizontal="center" vertical="center"/>
    </xf>
    <xf numFmtId="167" fontId="0" fillId="3" borderId="13" xfId="1" applyNumberFormat="1" applyFont="1" applyFill="1" applyBorder="1" applyAlignment="1">
      <alignment horizontal="center"/>
    </xf>
    <xf numFmtId="0" fontId="0" fillId="3" borderId="12" xfId="0" applyFill="1" applyBorder="1"/>
    <xf numFmtId="0" fontId="0" fillId="3" borderId="26" xfId="0" applyFill="1" applyBorder="1"/>
    <xf numFmtId="0" fontId="0" fillId="3" borderId="10" xfId="0" applyFill="1" applyBorder="1"/>
    <xf numFmtId="167" fontId="9" fillId="3" borderId="0" xfId="1" applyNumberFormat="1" applyFont="1" applyFill="1" applyBorder="1"/>
    <xf numFmtId="165" fontId="0" fillId="0" borderId="0" xfId="1" applyFont="1" applyFill="1" applyBorder="1" applyAlignment="1">
      <alignment horizontal="center"/>
    </xf>
    <xf numFmtId="2" fontId="6" fillId="0" borderId="0" xfId="5" applyNumberFormat="1" applyAlignment="1">
      <alignment horizontal="center"/>
    </xf>
    <xf numFmtId="169" fontId="15" fillId="14" borderId="20" xfId="5" applyNumberFormat="1" applyFont="1" applyFill="1" applyBorder="1" applyAlignment="1">
      <alignment horizontal="center"/>
    </xf>
    <xf numFmtId="172" fontId="15" fillId="14" borderId="20" xfId="5" applyNumberFormat="1" applyFont="1" applyFill="1" applyBorder="1" applyAlignment="1">
      <alignment horizontal="center"/>
    </xf>
    <xf numFmtId="174" fontId="15" fillId="14" borderId="0" xfId="5" applyNumberFormat="1" applyFont="1" applyFill="1" applyAlignment="1">
      <alignment horizontal="center"/>
    </xf>
    <xf numFmtId="174" fontId="15" fillId="14" borderId="0" xfId="1" applyNumberFormat="1" applyFont="1" applyFill="1" applyAlignment="1">
      <alignment horizontal="center"/>
    </xf>
    <xf numFmtId="169" fontId="14" fillId="14" borderId="0" xfId="5" applyNumberFormat="1" applyFont="1" applyFill="1" applyAlignment="1">
      <alignment horizontal="center"/>
    </xf>
    <xf numFmtId="174" fontId="14" fillId="14" borderId="0" xfId="1" applyNumberFormat="1" applyFont="1" applyFill="1" applyAlignment="1">
      <alignment horizontal="center"/>
    </xf>
    <xf numFmtId="174" fontId="14" fillId="14" borderId="0" xfId="1" applyNumberFormat="1" applyFont="1" applyFill="1" applyBorder="1" applyAlignment="1">
      <alignment horizontal="center"/>
    </xf>
    <xf numFmtId="174" fontId="16" fillId="14" borderId="0" xfId="1" applyNumberFormat="1" applyFont="1" applyFill="1" applyAlignment="1">
      <alignment horizontal="center"/>
    </xf>
    <xf numFmtId="174" fontId="9" fillId="14" borderId="0" xfId="5" applyNumberFormat="1" applyFont="1" applyFill="1" applyAlignment="1">
      <alignment horizontal="center"/>
    </xf>
    <xf numFmtId="10" fontId="15" fillId="14" borderId="20" xfId="4" applyNumberFormat="1" applyFont="1" applyFill="1" applyBorder="1" applyAlignment="1">
      <alignment horizontal="center"/>
    </xf>
    <xf numFmtId="174" fontId="50" fillId="14" borderId="0" xfId="1" applyNumberFormat="1" applyFont="1" applyFill="1" applyBorder="1"/>
    <xf numFmtId="174" fontId="51" fillId="14" borderId="0" xfId="5" applyNumberFormat="1" applyFont="1" applyFill="1"/>
    <xf numFmtId="174" fontId="51" fillId="14" borderId="0" xfId="4" applyNumberFormat="1" applyFont="1" applyFill="1" applyBorder="1"/>
    <xf numFmtId="174" fontId="51" fillId="14" borderId="0" xfId="1" applyNumberFormat="1" applyFont="1" applyFill="1" applyBorder="1" applyAlignment="1">
      <alignment horizontal="center"/>
    </xf>
    <xf numFmtId="174" fontId="48" fillId="14" borderId="0" xfId="1" applyNumberFormat="1" applyFont="1" applyFill="1" applyBorder="1"/>
    <xf numFmtId="0" fontId="9" fillId="3" borderId="0" xfId="5" applyFont="1" applyFill="1" applyAlignment="1">
      <alignment horizontal="center"/>
    </xf>
    <xf numFmtId="10" fontId="15" fillId="14" borderId="20" xfId="5" applyNumberFormat="1" applyFont="1" applyFill="1" applyBorder="1" applyAlignment="1">
      <alignment horizontal="center"/>
    </xf>
    <xf numFmtId="169" fontId="9" fillId="14" borderId="20" xfId="5" applyNumberFormat="1" applyFont="1" applyFill="1" applyBorder="1" applyAlignment="1">
      <alignment horizontal="center"/>
    </xf>
    <xf numFmtId="174" fontId="48" fillId="14" borderId="13" xfId="5" applyNumberFormat="1" applyFont="1" applyFill="1" applyBorder="1" applyAlignment="1">
      <alignment horizontal="center"/>
    </xf>
    <xf numFmtId="174" fontId="48" fillId="14" borderId="2" xfId="5" applyNumberFormat="1" applyFont="1" applyFill="1" applyBorder="1" applyAlignment="1">
      <alignment horizontal="center"/>
    </xf>
    <xf numFmtId="174" fontId="14" fillId="14" borderId="0" xfId="2" applyNumberFormat="1" applyFont="1" applyFill="1" applyBorder="1" applyAlignment="1">
      <alignment horizontal="center"/>
    </xf>
    <xf numFmtId="169" fontId="9" fillId="14" borderId="0" xfId="4" applyNumberFormat="1" applyFont="1" applyFill="1" applyBorder="1" applyAlignment="1">
      <alignment horizontal="center"/>
    </xf>
    <xf numFmtId="0" fontId="6" fillId="0" borderId="13" xfId="5" applyBorder="1"/>
    <xf numFmtId="167" fontId="57" fillId="0" borderId="0" xfId="0" applyNumberFormat="1" applyFont="1" applyAlignment="1">
      <alignment horizontal="right" vertical="center"/>
    </xf>
    <xf numFmtId="0" fontId="9" fillId="0" borderId="4" xfId="5" applyFont="1" applyBorder="1"/>
    <xf numFmtId="3" fontId="9" fillId="9" borderId="6" xfId="5" applyNumberFormat="1" applyFont="1" applyFill="1" applyBorder="1"/>
    <xf numFmtId="169" fontId="38" fillId="3" borderId="0" xfId="6" applyNumberFormat="1" applyFont="1" applyFill="1" applyAlignment="1">
      <alignment horizontal="center" vertical="center"/>
    </xf>
    <xf numFmtId="173" fontId="9" fillId="3" borderId="0" xfId="0" applyNumberFormat="1" applyFont="1" applyFill="1" applyAlignment="1">
      <alignment horizontal="center" vertical="center"/>
    </xf>
    <xf numFmtId="172" fontId="9" fillId="3" borderId="0" xfId="5" applyNumberFormat="1" applyFont="1" applyFill="1" applyAlignment="1">
      <alignment horizontal="center" vertical="center"/>
    </xf>
    <xf numFmtId="9" fontId="6" fillId="14" borderId="0" xfId="5" applyNumberFormat="1" applyFill="1" applyAlignment="1">
      <alignment horizontal="center"/>
    </xf>
    <xf numFmtId="174" fontId="6" fillId="14" borderId="0" xfId="5" applyNumberFormat="1" applyFill="1" applyAlignment="1">
      <alignment horizontal="center"/>
    </xf>
    <xf numFmtId="172" fontId="6" fillId="14" borderId="0" xfId="5" applyNumberFormat="1" applyFill="1" applyAlignment="1">
      <alignment horizontal="center"/>
    </xf>
    <xf numFmtId="0" fontId="6" fillId="14" borderId="0" xfId="5" applyFill="1" applyAlignment="1">
      <alignment horizontal="center"/>
    </xf>
    <xf numFmtId="2" fontId="6" fillId="14" borderId="0" xfId="4" applyNumberFormat="1" applyFont="1" applyFill="1" applyBorder="1" applyAlignment="1">
      <alignment horizontal="center"/>
    </xf>
    <xf numFmtId="2" fontId="6" fillId="14" borderId="0" xfId="5" applyNumberFormat="1" applyFill="1" applyAlignment="1">
      <alignment horizontal="center"/>
    </xf>
    <xf numFmtId="2" fontId="9" fillId="14" borderId="0" xfId="5" applyNumberFormat="1" applyFont="1" applyFill="1" applyAlignment="1">
      <alignment horizontal="center"/>
    </xf>
    <xf numFmtId="4" fontId="9" fillId="14" borderId="0" xfId="4" applyNumberFormat="1" applyFont="1" applyFill="1" applyBorder="1" applyAlignment="1">
      <alignment horizontal="center"/>
    </xf>
    <xf numFmtId="9" fontId="6" fillId="14" borderId="20" xfId="4" applyFill="1" applyBorder="1"/>
    <xf numFmtId="10" fontId="6" fillId="14" borderId="20" xfId="5" applyNumberFormat="1" applyFill="1" applyBorder="1"/>
    <xf numFmtId="4" fontId="6" fillId="14" borderId="20" xfId="5" applyNumberFormat="1" applyFill="1" applyBorder="1" applyAlignment="1">
      <alignment horizontal="center"/>
    </xf>
    <xf numFmtId="0" fontId="7" fillId="14" borderId="13" xfId="5" applyFont="1" applyFill="1" applyBorder="1" applyAlignment="1">
      <alignment horizontal="right"/>
    </xf>
    <xf numFmtId="9" fontId="7" fillId="14" borderId="0" xfId="4" applyFont="1" applyFill="1" applyBorder="1" applyAlignment="1">
      <alignment horizontal="right" vertical="center"/>
    </xf>
    <xf numFmtId="174" fontId="7" fillId="14" borderId="10" xfId="4" applyNumberFormat="1" applyFont="1" applyFill="1" applyBorder="1" applyAlignment="1">
      <alignment horizontal="right" vertical="center"/>
    </xf>
    <xf numFmtId="9" fontId="28" fillId="14" borderId="0" xfId="4" applyFont="1" applyFill="1" applyBorder="1" applyAlignment="1">
      <alignment horizontal="right" vertical="center"/>
    </xf>
    <xf numFmtId="0" fontId="15" fillId="14" borderId="16" xfId="5" applyFont="1" applyFill="1" applyBorder="1" applyAlignment="1">
      <alignment horizontal="right"/>
    </xf>
    <xf numFmtId="9" fontId="27" fillId="14" borderId="1" xfId="4" applyFont="1" applyFill="1" applyBorder="1" applyAlignment="1">
      <alignment horizontal="right" vertical="center"/>
    </xf>
    <xf numFmtId="174" fontId="27" fillId="14" borderId="9" xfId="4" applyNumberFormat="1" applyFont="1" applyFill="1" applyBorder="1" applyAlignment="1">
      <alignment horizontal="right" vertical="center"/>
    </xf>
    <xf numFmtId="173" fontId="6" fillId="14" borderId="0" xfId="5" applyNumberFormat="1" applyFill="1"/>
    <xf numFmtId="10" fontId="9" fillId="14" borderId="20" xfId="5" applyNumberFormat="1" applyFont="1" applyFill="1" applyBorder="1" applyAlignment="1">
      <alignment horizontal="center"/>
    </xf>
    <xf numFmtId="167" fontId="6" fillId="14" borderId="0" xfId="5" applyNumberFormat="1" applyFill="1"/>
    <xf numFmtId="173" fontId="9" fillId="14" borderId="0" xfId="5" applyNumberFormat="1" applyFont="1" applyFill="1"/>
    <xf numFmtId="169" fontId="6" fillId="14" borderId="0" xfId="4" applyNumberFormat="1" applyFont="1" applyFill="1" applyBorder="1"/>
    <xf numFmtId="165" fontId="14" fillId="14" borderId="0" xfId="5" applyNumberFormat="1" applyFont="1" applyFill="1"/>
    <xf numFmtId="173" fontId="10" fillId="14" borderId="0" xfId="5" applyNumberFormat="1" applyFont="1" applyFill="1" applyAlignment="1">
      <alignment horizontal="center"/>
    </xf>
    <xf numFmtId="173" fontId="9" fillId="14" borderId="0" xfId="5" applyNumberFormat="1" applyFont="1" applyFill="1" applyAlignment="1">
      <alignment horizontal="center"/>
    </xf>
    <xf numFmtId="164" fontId="6" fillId="14" borderId="0" xfId="2" applyFont="1" applyFill="1" applyBorder="1" applyAlignment="1">
      <alignment horizontal="center"/>
    </xf>
    <xf numFmtId="168" fontId="6" fillId="14" borderId="0" xfId="5" applyNumberFormat="1" applyFill="1" applyAlignment="1">
      <alignment horizontal="center"/>
    </xf>
    <xf numFmtId="173" fontId="9" fillId="14" borderId="27" xfId="5" applyNumberFormat="1" applyFont="1" applyFill="1" applyBorder="1"/>
    <xf numFmtId="173" fontId="9" fillId="14" borderId="8" xfId="5" applyNumberFormat="1" applyFont="1" applyFill="1" applyBorder="1"/>
    <xf numFmtId="10" fontId="9" fillId="14" borderId="28" xfId="5" applyNumberFormat="1" applyFont="1" applyFill="1" applyBorder="1" applyAlignment="1">
      <alignment horizontal="center"/>
    </xf>
    <xf numFmtId="170" fontId="6" fillId="14" borderId="0" xfId="1" applyNumberFormat="1" applyFont="1" applyFill="1" applyBorder="1"/>
    <xf numFmtId="165" fontId="11" fillId="14" borderId="0" xfId="1" applyFont="1" applyFill="1" applyBorder="1"/>
    <xf numFmtId="0" fontId="9" fillId="14" borderId="0" xfId="5" applyFont="1" applyFill="1"/>
    <xf numFmtId="173" fontId="26" fillId="14" borderId="0" xfId="5" applyNumberFormat="1" applyFont="1" applyFill="1" applyAlignment="1">
      <alignment horizontal="center"/>
    </xf>
    <xf numFmtId="165" fontId="9" fillId="0" borderId="0" xfId="1" applyFont="1" applyBorder="1" applyAlignment="1">
      <alignment horizontal="center" vertical="center"/>
    </xf>
    <xf numFmtId="169" fontId="15" fillId="0" borderId="0" xfId="6" applyNumberFormat="1" applyFont="1" applyAlignment="1">
      <alignment horizontal="center" vertical="center"/>
    </xf>
    <xf numFmtId="9" fontId="9" fillId="0" borderId="20" xfId="5" applyNumberFormat="1" applyFont="1" applyBorder="1" applyAlignment="1">
      <alignment horizontal="center"/>
    </xf>
    <xf numFmtId="9" fontId="6" fillId="0" borderId="20" xfId="5" applyNumberFormat="1" applyBorder="1" applyAlignment="1">
      <alignment horizontal="center"/>
    </xf>
    <xf numFmtId="170" fontId="14" fillId="0" borderId="20" xfId="5" applyNumberFormat="1" applyFont="1" applyBorder="1" applyAlignment="1">
      <alignment horizontal="center"/>
    </xf>
    <xf numFmtId="0" fontId="6" fillId="3" borderId="20" xfId="5" applyFill="1" applyBorder="1"/>
    <xf numFmtId="169" fontId="15" fillId="3" borderId="0" xfId="4" applyNumberFormat="1" applyFont="1" applyFill="1" applyBorder="1" applyAlignment="1">
      <alignment horizontal="right"/>
    </xf>
    <xf numFmtId="0" fontId="19" fillId="3" borderId="0" xfId="5" applyFont="1" applyFill="1" applyAlignment="1">
      <alignment horizontal="center"/>
    </xf>
    <xf numFmtId="165" fontId="0" fillId="3" borderId="0" xfId="1" applyFont="1" applyFill="1" applyBorder="1"/>
    <xf numFmtId="0" fontId="40" fillId="3" borderId="0" xfId="6" applyFont="1" applyFill="1" applyAlignment="1">
      <alignment horizontal="center" vertical="center"/>
    </xf>
    <xf numFmtId="0" fontId="4" fillId="3" borderId="0" xfId="6" applyFont="1" applyFill="1"/>
    <xf numFmtId="0" fontId="4" fillId="0" borderId="0" xfId="6" applyFont="1"/>
    <xf numFmtId="0" fontId="64" fillId="3" borderId="0" xfId="0" applyFont="1" applyFill="1"/>
    <xf numFmtId="0" fontId="45" fillId="7" borderId="0" xfId="5" applyFont="1" applyFill="1"/>
    <xf numFmtId="0" fontId="65" fillId="8" borderId="0" xfId="5" applyFont="1" applyFill="1" applyAlignment="1">
      <alignment horizontal="center" vertical="center"/>
    </xf>
    <xf numFmtId="0" fontId="63" fillId="7" borderId="0" xfId="5" applyFont="1" applyFill="1"/>
    <xf numFmtId="0" fontId="54" fillId="7" borderId="0" xfId="5" applyFont="1" applyFill="1" applyAlignment="1">
      <alignment horizontal="center"/>
    </xf>
    <xf numFmtId="0" fontId="54" fillId="7" borderId="0" xfId="5" applyFont="1" applyFill="1"/>
    <xf numFmtId="0" fontId="4" fillId="9" borderId="0" xfId="6" applyFont="1" applyFill="1"/>
    <xf numFmtId="0" fontId="4" fillId="0" borderId="0" xfId="6" applyFont="1" applyAlignment="1">
      <alignment horizontal="center" vertical="center"/>
    </xf>
    <xf numFmtId="0" fontId="4" fillId="0" borderId="0" xfId="6" applyFont="1" applyAlignment="1">
      <alignment horizontal="center"/>
    </xf>
    <xf numFmtId="0" fontId="4" fillId="19" borderId="0" xfId="6" applyFont="1" applyFill="1"/>
    <xf numFmtId="0" fontId="45" fillId="3" borderId="0" xfId="5" applyFont="1" applyFill="1"/>
    <xf numFmtId="0" fontId="54" fillId="3" borderId="0" xfId="5" applyFont="1" applyFill="1" applyAlignment="1">
      <alignment horizontal="center" vertical="center"/>
    </xf>
    <xf numFmtId="0" fontId="21" fillId="3" borderId="0" xfId="5" applyFont="1" applyFill="1" applyAlignment="1">
      <alignment horizontal="center" vertical="center"/>
    </xf>
    <xf numFmtId="0" fontId="45" fillId="3" borderId="0" xfId="5" applyFont="1" applyFill="1" applyAlignment="1">
      <alignment horizontal="center"/>
    </xf>
    <xf numFmtId="0" fontId="66" fillId="3" borderId="0" xfId="5" applyFont="1" applyFill="1" applyAlignment="1">
      <alignment horizontal="center" vertical="center"/>
    </xf>
    <xf numFmtId="0" fontId="21" fillId="3" borderId="0" xfId="5" applyFont="1" applyFill="1"/>
    <xf numFmtId="0" fontId="21" fillId="3" borderId="7" xfId="5" applyFont="1" applyFill="1" applyBorder="1"/>
    <xf numFmtId="0" fontId="67" fillId="9" borderId="4" xfId="5" applyFont="1" applyFill="1" applyBorder="1" applyAlignment="1">
      <alignment horizontal="right"/>
    </xf>
    <xf numFmtId="0" fontId="45" fillId="3" borderId="13" xfId="5" applyFont="1" applyFill="1" applyBorder="1" applyAlignment="1">
      <alignment horizontal="right"/>
    </xf>
    <xf numFmtId="9" fontId="45" fillId="3" borderId="0" xfId="4" applyFont="1" applyFill="1" applyBorder="1" applyAlignment="1">
      <alignment horizontal="center" vertical="center"/>
    </xf>
    <xf numFmtId="9" fontId="68" fillId="3" borderId="0" xfId="4" applyFont="1" applyFill="1" applyBorder="1" applyAlignment="1">
      <alignment horizontal="center" vertical="center"/>
    </xf>
    <xf numFmtId="0" fontId="21" fillId="3" borderId="16" xfId="5" applyFont="1" applyFill="1" applyBorder="1" applyAlignment="1">
      <alignment horizontal="right"/>
    </xf>
    <xf numFmtId="9" fontId="21" fillId="3" borderId="1" xfId="4" applyFont="1" applyFill="1" applyBorder="1" applyAlignment="1">
      <alignment horizontal="center" vertical="center"/>
    </xf>
    <xf numFmtId="0" fontId="54" fillId="3" borderId="11" xfId="5" applyFont="1" applyFill="1" applyBorder="1" applyAlignment="1">
      <alignment horizontal="center" vertical="center"/>
    </xf>
    <xf numFmtId="0" fontId="45" fillId="3" borderId="12" xfId="5" applyFont="1" applyFill="1" applyBorder="1"/>
    <xf numFmtId="0" fontId="45" fillId="3" borderId="12" xfId="5" applyFont="1" applyFill="1" applyBorder="1" applyAlignment="1">
      <alignment horizontal="center"/>
    </xf>
    <xf numFmtId="0" fontId="54" fillId="3" borderId="13" xfId="5" applyFont="1" applyFill="1" applyBorder="1" applyAlignment="1">
      <alignment horizontal="center" vertical="center"/>
    </xf>
    <xf numFmtId="174" fontId="45" fillId="3" borderId="0" xfId="5" applyNumberFormat="1" applyFont="1" applyFill="1" applyAlignment="1">
      <alignment horizontal="center"/>
    </xf>
    <xf numFmtId="0" fontId="54" fillId="3" borderId="16" xfId="5" applyFont="1" applyFill="1" applyBorder="1" applyAlignment="1">
      <alignment horizontal="center" vertical="center"/>
    </xf>
    <xf numFmtId="0" fontId="45" fillId="3" borderId="1" xfId="5" applyFont="1" applyFill="1" applyBorder="1"/>
    <xf numFmtId="0" fontId="45" fillId="3" borderId="1" xfId="5" applyFont="1" applyFill="1" applyBorder="1" applyAlignment="1">
      <alignment horizontal="center"/>
    </xf>
    <xf numFmtId="0" fontId="45" fillId="3" borderId="10" xfId="5" applyFont="1" applyFill="1" applyBorder="1" applyAlignment="1">
      <alignment horizontal="center"/>
    </xf>
    <xf numFmtId="169" fontId="45" fillId="3" borderId="0" xfId="5" applyNumberFormat="1" applyFont="1" applyFill="1" applyAlignment="1">
      <alignment horizontal="center"/>
    </xf>
    <xf numFmtId="0" fontId="45" fillId="11" borderId="0" xfId="5" applyFont="1" applyFill="1"/>
    <xf numFmtId="0" fontId="21" fillId="9" borderId="0" xfId="5" applyFont="1" applyFill="1"/>
    <xf numFmtId="2" fontId="21" fillId="3" borderId="2" xfId="6" applyNumberFormat="1" applyFont="1" applyFill="1" applyBorder="1" applyAlignment="1">
      <alignment horizontal="center" vertical="center"/>
    </xf>
    <xf numFmtId="173" fontId="21" fillId="3" borderId="2" xfId="6" applyNumberFormat="1" applyFont="1" applyFill="1" applyBorder="1" applyAlignment="1">
      <alignment horizontal="center" vertical="center"/>
    </xf>
    <xf numFmtId="2" fontId="45" fillId="3" borderId="2" xfId="5" applyNumberFormat="1" applyFont="1" applyFill="1" applyBorder="1" applyAlignment="1">
      <alignment horizontal="center" vertical="center"/>
    </xf>
    <xf numFmtId="0" fontId="21" fillId="3" borderId="22" xfId="5" applyFont="1" applyFill="1" applyBorder="1"/>
    <xf numFmtId="0" fontId="21" fillId="3" borderId="23" xfId="5" applyFont="1" applyFill="1" applyBorder="1" applyAlignment="1">
      <alignment horizontal="right" vertical="center"/>
    </xf>
    <xf numFmtId="0" fontId="21" fillId="3" borderId="14" xfId="5" applyFont="1" applyFill="1" applyBorder="1"/>
    <xf numFmtId="0" fontId="21" fillId="3" borderId="15" xfId="5" applyFont="1" applyFill="1" applyBorder="1" applyAlignment="1">
      <alignment horizontal="center"/>
    </xf>
    <xf numFmtId="0" fontId="21" fillId="2" borderId="14" xfId="5" applyFont="1" applyFill="1" applyBorder="1"/>
    <xf numFmtId="14" fontId="21" fillId="2" borderId="0" xfId="5" applyNumberFormat="1" applyFont="1" applyFill="1" applyAlignment="1">
      <alignment horizontal="right"/>
    </xf>
    <xf numFmtId="14" fontId="21" fillId="3" borderId="15" xfId="5" applyNumberFormat="1" applyFont="1" applyFill="1" applyBorder="1" applyAlignment="1">
      <alignment horizontal="center"/>
    </xf>
    <xf numFmtId="0" fontId="45" fillId="3" borderId="14" xfId="5" applyFont="1" applyFill="1" applyBorder="1"/>
    <xf numFmtId="168" fontId="45" fillId="3" borderId="0" xfId="1" applyNumberFormat="1" applyFont="1" applyFill="1" applyBorder="1" applyAlignment="1">
      <alignment horizontal="center" vertical="center"/>
    </xf>
    <xf numFmtId="168" fontId="45" fillId="3" borderId="15" xfId="1" applyNumberFormat="1" applyFont="1" applyFill="1" applyBorder="1" applyAlignment="1">
      <alignment horizontal="center" vertical="center"/>
    </xf>
    <xf numFmtId="168" fontId="69" fillId="3" borderId="0" xfId="1" applyNumberFormat="1" applyFont="1" applyFill="1" applyBorder="1" applyAlignment="1">
      <alignment horizontal="center" vertical="center"/>
    </xf>
    <xf numFmtId="0" fontId="45" fillId="3" borderId="18" xfId="5" applyFont="1" applyFill="1" applyBorder="1"/>
    <xf numFmtId="168" fontId="45" fillId="3" borderId="24" xfId="1" applyNumberFormat="1" applyFont="1" applyFill="1" applyBorder="1" applyAlignment="1">
      <alignment horizontal="center" vertical="center"/>
    </xf>
    <xf numFmtId="168" fontId="45" fillId="3" borderId="17" xfId="1" applyNumberFormat="1" applyFont="1" applyFill="1" applyBorder="1" applyAlignment="1">
      <alignment horizontal="center" vertical="center"/>
    </xf>
    <xf numFmtId="0" fontId="9" fillId="3" borderId="0" xfId="0" applyFont="1" applyFill="1" applyAlignment="1">
      <alignment horizontal="right"/>
    </xf>
    <xf numFmtId="0" fontId="6" fillId="3" borderId="0" xfId="0" applyFont="1" applyFill="1" applyAlignment="1">
      <alignment horizontal="right" wrapText="1"/>
    </xf>
    <xf numFmtId="0" fontId="9" fillId="3" borderId="0" xfId="0" applyFont="1" applyFill="1" applyAlignment="1">
      <alignment horizontal="right" vertical="center"/>
    </xf>
    <xf numFmtId="0" fontId="0" fillId="3" borderId="12" xfId="0" applyFill="1" applyBorder="1" applyAlignment="1">
      <alignment horizontal="right"/>
    </xf>
    <xf numFmtId="0" fontId="0" fillId="3" borderId="0" xfId="0" applyFill="1" applyAlignment="1">
      <alignment horizontal="right"/>
    </xf>
    <xf numFmtId="174" fontId="0" fillId="0" borderId="0" xfId="0" applyNumberFormat="1" applyAlignment="1">
      <alignment horizontal="right" vertical="center"/>
    </xf>
    <xf numFmtId="0" fontId="14" fillId="3" borderId="0" xfId="0" applyFont="1" applyFill="1"/>
    <xf numFmtId="167" fontId="10" fillId="3" borderId="20" xfId="1" applyNumberFormat="1" applyFont="1" applyFill="1" applyBorder="1" applyAlignment="1">
      <alignment horizontal="center"/>
    </xf>
    <xf numFmtId="167" fontId="0" fillId="3" borderId="20" xfId="0" applyNumberFormat="1" applyFill="1" applyBorder="1"/>
    <xf numFmtId="167" fontId="10" fillId="3" borderId="0" xfId="1" applyNumberFormat="1" applyFont="1" applyFill="1" applyBorder="1" applyAlignment="1">
      <alignment horizontal="center"/>
    </xf>
    <xf numFmtId="173" fontId="0" fillId="3" borderId="0" xfId="0" applyNumberFormat="1" applyFill="1"/>
    <xf numFmtId="167" fontId="9" fillId="14" borderId="0" xfId="0" applyNumberFormat="1" applyFont="1" applyFill="1"/>
    <xf numFmtId="167" fontId="9" fillId="14" borderId="21" xfId="1" applyNumberFormat="1" applyFont="1" applyFill="1" applyBorder="1"/>
    <xf numFmtId="0" fontId="15" fillId="3" borderId="0" xfId="5" applyFont="1" applyFill="1"/>
    <xf numFmtId="0" fontId="15" fillId="20" borderId="0" xfId="5" applyFont="1" applyFill="1"/>
    <xf numFmtId="0" fontId="15" fillId="20" borderId="20" xfId="5" applyFont="1" applyFill="1" applyBorder="1" applyAlignment="1">
      <alignment horizontal="center"/>
    </xf>
    <xf numFmtId="174" fontId="71" fillId="14" borderId="0" xfId="1" applyNumberFormat="1" applyFont="1" applyFill="1" applyBorder="1"/>
    <xf numFmtId="169" fontId="14" fillId="0" borderId="20" xfId="4" applyNumberFormat="1" applyFont="1" applyFill="1" applyBorder="1" applyAlignment="1">
      <alignment horizontal="center"/>
    </xf>
    <xf numFmtId="169" fontId="14" fillId="20" borderId="13" xfId="4" applyNumberFormat="1" applyFont="1" applyFill="1" applyBorder="1" applyAlignment="1">
      <alignment horizontal="center"/>
    </xf>
    <xf numFmtId="169" fontId="9" fillId="0" borderId="20" xfId="4" applyNumberFormat="1" applyFont="1" applyFill="1" applyBorder="1" applyAlignment="1">
      <alignment horizontal="center"/>
    </xf>
    <xf numFmtId="169" fontId="9" fillId="14" borderId="13" xfId="4" applyNumberFormat="1" applyFont="1" applyFill="1" applyBorder="1" applyAlignment="1"/>
    <xf numFmtId="0" fontId="74" fillId="3" borderId="0" xfId="5" applyFont="1" applyFill="1"/>
    <xf numFmtId="0" fontId="73" fillId="0" borderId="0" xfId="5" applyFont="1"/>
    <xf numFmtId="0" fontId="72" fillId="0" borderId="0" xfId="5" applyFont="1"/>
    <xf numFmtId="167" fontId="73" fillId="0" borderId="0" xfId="1" applyNumberFormat="1" applyFont="1" applyFill="1" applyBorder="1"/>
    <xf numFmtId="174" fontId="15" fillId="20" borderId="2" xfId="5" applyNumberFormat="1" applyFont="1" applyFill="1" applyBorder="1"/>
    <xf numFmtId="0" fontId="33" fillId="6" borderId="0" xfId="5" applyFont="1" applyFill="1" applyAlignment="1">
      <alignment vertical="center"/>
    </xf>
    <xf numFmtId="43" fontId="6" fillId="0" borderId="15" xfId="5" applyNumberFormat="1" applyBorder="1"/>
    <xf numFmtId="173" fontId="38" fillId="0" borderId="0" xfId="5" applyNumberFormat="1" applyFont="1"/>
    <xf numFmtId="174" fontId="45" fillId="3" borderId="10" xfId="4" applyNumberFormat="1" applyFont="1" applyFill="1" applyBorder="1" applyAlignment="1">
      <alignment horizontal="center" vertical="center"/>
    </xf>
    <xf numFmtId="174" fontId="21" fillId="3" borderId="9" xfId="4" applyNumberFormat="1" applyFont="1" applyFill="1" applyBorder="1" applyAlignment="1">
      <alignment horizontal="center" vertical="center"/>
    </xf>
    <xf numFmtId="0" fontId="45" fillId="3" borderId="26" xfId="5" applyFont="1" applyFill="1" applyBorder="1" applyAlignment="1">
      <alignment horizontal="center"/>
    </xf>
    <xf numFmtId="0" fontId="45" fillId="3" borderId="9" xfId="5" applyFont="1" applyFill="1" applyBorder="1" applyAlignment="1">
      <alignment horizontal="center"/>
    </xf>
    <xf numFmtId="169" fontId="45" fillId="3" borderId="0" xfId="4" applyNumberFormat="1" applyFont="1" applyFill="1" applyBorder="1" applyAlignment="1">
      <alignment horizontal="center"/>
    </xf>
    <xf numFmtId="165" fontId="45" fillId="3" borderId="0" xfId="1" applyFont="1" applyFill="1" applyBorder="1" applyAlignment="1">
      <alignment horizontal="center"/>
    </xf>
    <xf numFmtId="10" fontId="45" fillId="3" borderId="0" xfId="6" applyNumberFormat="1" applyFont="1" applyFill="1" applyAlignment="1">
      <alignment horizontal="center"/>
    </xf>
    <xf numFmtId="14" fontId="21" fillId="2" borderId="0" xfId="5" applyNumberFormat="1" applyFont="1" applyFill="1" applyAlignment="1">
      <alignment horizontal="center"/>
    </xf>
    <xf numFmtId="3" fontId="45" fillId="3" borderId="0" xfId="1" applyNumberFormat="1" applyFont="1" applyFill="1" applyBorder="1" applyAlignment="1">
      <alignment horizontal="center"/>
    </xf>
    <xf numFmtId="169" fontId="45" fillId="3" borderId="0" xfId="6" applyNumberFormat="1" applyFont="1" applyFill="1" applyAlignment="1">
      <alignment horizontal="center"/>
    </xf>
    <xf numFmtId="169" fontId="45" fillId="3" borderId="0" xfId="4" applyNumberFormat="1" applyFont="1" applyFill="1" applyAlignment="1">
      <alignment horizontal="center"/>
    </xf>
    <xf numFmtId="0" fontId="21" fillId="3" borderId="25" xfId="5" applyFont="1" applyFill="1" applyBorder="1"/>
    <xf numFmtId="0" fontId="21" fillId="2" borderId="0" xfId="5" applyFont="1" applyFill="1"/>
    <xf numFmtId="0" fontId="45" fillId="3" borderId="24" xfId="5" applyFont="1" applyFill="1" applyBorder="1"/>
    <xf numFmtId="0" fontId="70" fillId="3" borderId="0" xfId="6" applyFont="1" applyFill="1" applyAlignment="1">
      <alignment horizontal="center"/>
    </xf>
    <xf numFmtId="179" fontId="45" fillId="3" borderId="0" xfId="1" applyNumberFormat="1" applyFont="1" applyFill="1" applyBorder="1" applyAlignment="1">
      <alignment horizontal="center"/>
    </xf>
    <xf numFmtId="174" fontId="32" fillId="3" borderId="0" xfId="5" applyNumberFormat="1" applyFont="1" applyFill="1" applyAlignment="1">
      <alignment horizontal="center" vertical="center" wrapText="1"/>
    </xf>
    <xf numFmtId="0" fontId="76" fillId="6" borderId="0" xfId="5" applyFont="1" applyFill="1" applyAlignment="1">
      <alignment vertical="center"/>
    </xf>
    <xf numFmtId="174" fontId="33" fillId="3" borderId="0" xfId="5" applyNumberFormat="1" applyFont="1" applyFill="1" applyAlignment="1">
      <alignment horizontal="center" vertical="center" wrapText="1"/>
    </xf>
    <xf numFmtId="0" fontId="33" fillId="6" borderId="0" xfId="5" applyFont="1" applyFill="1" applyAlignment="1">
      <alignment horizontal="center" vertical="center"/>
    </xf>
    <xf numFmtId="169" fontId="32" fillId="6" borderId="0" xfId="4" applyNumberFormat="1" applyFont="1" applyFill="1" applyBorder="1" applyAlignment="1">
      <alignment horizontal="center" vertical="center"/>
    </xf>
    <xf numFmtId="180" fontId="71" fillId="14" borderId="0" xfId="1" applyNumberFormat="1" applyFont="1" applyFill="1" applyBorder="1"/>
    <xf numFmtId="167" fontId="45" fillId="3" borderId="0" xfId="1" applyNumberFormat="1" applyFont="1" applyFill="1" applyBorder="1" applyAlignment="1">
      <alignment horizontal="center"/>
    </xf>
    <xf numFmtId="172" fontId="40" fillId="3" borderId="0" xfId="6" applyNumberFormat="1" applyFont="1" applyFill="1" applyAlignment="1">
      <alignment horizontal="center" vertical="center"/>
    </xf>
    <xf numFmtId="0" fontId="40" fillId="10" borderId="0" xfId="6" applyFont="1" applyFill="1"/>
    <xf numFmtId="172" fontId="40" fillId="10" borderId="0" xfId="6" applyNumberFormat="1" applyFont="1" applyFill="1" applyAlignment="1">
      <alignment horizontal="center" vertical="center"/>
    </xf>
    <xf numFmtId="172" fontId="40" fillId="10" borderId="0" xfId="6" applyNumberFormat="1" applyFont="1" applyFill="1" applyAlignment="1">
      <alignment horizontal="center"/>
    </xf>
    <xf numFmtId="0" fontId="40" fillId="10" borderId="0" xfId="6" applyFont="1" applyFill="1" applyAlignment="1">
      <alignment horizontal="center" vertical="center"/>
    </xf>
    <xf numFmtId="0" fontId="40" fillId="10" borderId="0" xfId="6" applyFont="1" applyFill="1" applyAlignment="1">
      <alignment horizontal="center"/>
    </xf>
    <xf numFmtId="0" fontId="0" fillId="3" borderId="0" xfId="0" applyFill="1" applyAlignment="1">
      <alignment horizontal="center"/>
    </xf>
    <xf numFmtId="0" fontId="9" fillId="12" borderId="0" xfId="0" applyFont="1" applyFill="1" applyAlignment="1">
      <alignment horizontal="center"/>
    </xf>
    <xf numFmtId="0" fontId="0" fillId="0" borderId="0" xfId="0" applyAlignment="1">
      <alignment horizontal="center"/>
    </xf>
    <xf numFmtId="178" fontId="14" fillId="3" borderId="0" xfId="1" applyNumberFormat="1" applyFont="1" applyFill="1" applyAlignment="1">
      <alignment horizontal="center"/>
    </xf>
    <xf numFmtId="178" fontId="16" fillId="3" borderId="0" xfId="1" applyNumberFormat="1" applyFont="1" applyFill="1" applyAlignment="1">
      <alignment horizontal="center"/>
    </xf>
    <xf numFmtId="178" fontId="9" fillId="14" borderId="0" xfId="0" applyNumberFormat="1" applyFont="1" applyFill="1" applyAlignment="1">
      <alignment horizontal="center"/>
    </xf>
    <xf numFmtId="178" fontId="10" fillId="3" borderId="0" xfId="1" applyNumberFormat="1" applyFont="1" applyFill="1" applyBorder="1" applyAlignment="1">
      <alignment horizontal="center"/>
    </xf>
    <xf numFmtId="178" fontId="0" fillId="3" borderId="0" xfId="1" applyNumberFormat="1" applyFont="1" applyFill="1" applyAlignment="1">
      <alignment horizontal="center"/>
    </xf>
    <xf numFmtId="178" fontId="9" fillId="14" borderId="0" xfId="1" applyNumberFormat="1" applyFont="1" applyFill="1" applyAlignment="1">
      <alignment horizontal="center"/>
    </xf>
    <xf numFmtId="178" fontId="9" fillId="20" borderId="2" xfId="5" applyNumberFormat="1" applyFont="1" applyFill="1" applyBorder="1" applyAlignment="1">
      <alignment horizontal="center"/>
    </xf>
    <xf numFmtId="169" fontId="14" fillId="20" borderId="0" xfId="4" applyNumberFormat="1" applyFont="1" applyFill="1" applyBorder="1" applyAlignment="1">
      <alignment horizontal="center"/>
    </xf>
    <xf numFmtId="174" fontId="15" fillId="14" borderId="13" xfId="1" applyNumberFormat="1" applyFont="1" applyFill="1" applyBorder="1" applyAlignment="1">
      <alignment horizontal="center"/>
    </xf>
    <xf numFmtId="178" fontId="15" fillId="14" borderId="0" xfId="1" applyNumberFormat="1" applyFont="1" applyFill="1" applyBorder="1" applyAlignment="1">
      <alignment horizontal="center"/>
    </xf>
    <xf numFmtId="178" fontId="15" fillId="20" borderId="2" xfId="2" applyNumberFormat="1" applyFont="1" applyFill="1" applyBorder="1" applyAlignment="1">
      <alignment horizontal="center"/>
    </xf>
    <xf numFmtId="178" fontId="15" fillId="14" borderId="0" xfId="2" applyNumberFormat="1" applyFont="1" applyFill="1" applyBorder="1" applyAlignment="1">
      <alignment horizontal="center"/>
    </xf>
    <xf numFmtId="169" fontId="15" fillId="14" borderId="0" xfId="4" applyNumberFormat="1" applyFont="1" applyFill="1" applyBorder="1" applyAlignment="1">
      <alignment horizontal="center"/>
    </xf>
    <xf numFmtId="0" fontId="51" fillId="3" borderId="0" xfId="5" applyFont="1" applyFill="1"/>
    <xf numFmtId="167" fontId="48" fillId="3" borderId="20" xfId="5" applyNumberFormat="1" applyFont="1" applyFill="1" applyBorder="1" applyAlignment="1">
      <alignment horizontal="center"/>
    </xf>
    <xf numFmtId="178" fontId="72" fillId="3" borderId="0" xfId="5" applyNumberFormat="1" applyFont="1" applyFill="1" applyAlignment="1">
      <alignment horizontal="center"/>
    </xf>
    <xf numFmtId="174" fontId="52" fillId="3" borderId="0" xfId="4" applyNumberFormat="1" applyFont="1" applyFill="1" applyBorder="1"/>
    <xf numFmtId="174" fontId="53" fillId="3" borderId="0" xfId="1" applyNumberFormat="1" applyFont="1" applyFill="1" applyBorder="1" applyAlignment="1">
      <alignment horizontal="center"/>
    </xf>
    <xf numFmtId="174" fontId="49" fillId="3" borderId="0" xfId="5" applyNumberFormat="1" applyFont="1" applyFill="1"/>
    <xf numFmtId="174" fontId="51" fillId="3" borderId="0" xfId="1" applyNumberFormat="1" applyFont="1" applyFill="1" applyBorder="1"/>
    <xf numFmtId="178" fontId="72" fillId="14" borderId="0" xfId="5" applyNumberFormat="1" applyFont="1" applyFill="1" applyAlignment="1">
      <alignment horizontal="center"/>
    </xf>
    <xf numFmtId="174" fontId="9" fillId="0" borderId="0" xfId="4" applyNumberFormat="1" applyFont="1" applyFill="1" applyBorder="1" applyAlignment="1">
      <alignment horizontal="center"/>
    </xf>
    <xf numFmtId="167" fontId="15" fillId="14" borderId="0" xfId="5" applyNumberFormat="1" applyFont="1" applyFill="1" applyAlignment="1">
      <alignment horizontal="center"/>
    </xf>
    <xf numFmtId="167" fontId="15" fillId="14" borderId="0" xfId="1" applyNumberFormat="1" applyFont="1" applyFill="1" applyAlignment="1">
      <alignment horizontal="center"/>
    </xf>
    <xf numFmtId="167" fontId="16" fillId="14" borderId="0" xfId="1" applyNumberFormat="1" applyFont="1" applyFill="1" applyBorder="1" applyAlignment="1">
      <alignment horizontal="center"/>
    </xf>
    <xf numFmtId="173" fontId="15" fillId="14" borderId="0" xfId="5" applyNumberFormat="1" applyFont="1" applyFill="1" applyAlignment="1">
      <alignment horizontal="center"/>
    </xf>
    <xf numFmtId="169" fontId="15" fillId="14" borderId="0" xfId="5" applyNumberFormat="1" applyFont="1" applyFill="1" applyAlignment="1">
      <alignment horizontal="center"/>
    </xf>
    <xf numFmtId="0" fontId="21" fillId="3" borderId="25" xfId="5" applyFont="1" applyFill="1" applyBorder="1" applyAlignment="1">
      <alignment horizontal="center" wrapText="1"/>
    </xf>
    <xf numFmtId="0" fontId="21" fillId="3" borderId="0" xfId="5" applyFont="1" applyFill="1" applyAlignment="1">
      <alignment horizontal="center" wrapText="1"/>
    </xf>
    <xf numFmtId="0" fontId="21" fillId="3" borderId="18" xfId="5" applyFont="1" applyFill="1" applyBorder="1"/>
    <xf numFmtId="0" fontId="45" fillId="3" borderId="0" xfId="5" applyFont="1" applyFill="1" applyAlignment="1">
      <alignment horizontal="left"/>
    </xf>
    <xf numFmtId="178" fontId="72" fillId="20" borderId="2" xfId="5" applyNumberFormat="1" applyFont="1" applyFill="1" applyBorder="1" applyAlignment="1">
      <alignment horizontal="center"/>
    </xf>
    <xf numFmtId="0" fontId="15" fillId="14" borderId="0" xfId="5" applyFont="1" applyFill="1"/>
    <xf numFmtId="174" fontId="14" fillId="3" borderId="0" xfId="1" applyNumberFormat="1" applyFont="1" applyFill="1" applyBorder="1" applyAlignment="1">
      <alignment horizontal="center"/>
    </xf>
    <xf numFmtId="174" fontId="14" fillId="3" borderId="0" xfId="2" applyNumberFormat="1" applyFont="1" applyFill="1" applyBorder="1" applyAlignment="1">
      <alignment horizontal="center"/>
    </xf>
    <xf numFmtId="169" fontId="9" fillId="3" borderId="0" xfId="4" applyNumberFormat="1" applyFont="1" applyFill="1" applyBorder="1" applyAlignment="1">
      <alignment horizontal="center"/>
    </xf>
    <xf numFmtId="174" fontId="15" fillId="14" borderId="4" xfId="5" applyNumberFormat="1" applyFont="1" applyFill="1" applyBorder="1" applyAlignment="1">
      <alignment horizontal="center"/>
    </xf>
    <xf numFmtId="174" fontId="15" fillId="20" borderId="4" xfId="2" applyNumberFormat="1" applyFont="1" applyFill="1" applyBorder="1" applyAlignment="1">
      <alignment horizontal="center"/>
    </xf>
    <xf numFmtId="174" fontId="15" fillId="3" borderId="0" xfId="5" applyNumberFormat="1" applyFont="1" applyFill="1" applyAlignment="1">
      <alignment horizontal="center"/>
    </xf>
    <xf numFmtId="174" fontId="15" fillId="3" borderId="0" xfId="2" applyNumberFormat="1" applyFont="1" applyFill="1" applyBorder="1" applyAlignment="1">
      <alignment horizontal="center"/>
    </xf>
    <xf numFmtId="171" fontId="9" fillId="3" borderId="20" xfId="1" applyNumberFormat="1" applyFont="1" applyFill="1" applyBorder="1" applyAlignment="1">
      <alignment horizontal="center"/>
    </xf>
    <xf numFmtId="0" fontId="14" fillId="3" borderId="0" xfId="5" applyFont="1" applyFill="1"/>
    <xf numFmtId="173" fontId="6" fillId="3" borderId="0" xfId="5" applyNumberFormat="1" applyFill="1"/>
    <xf numFmtId="172" fontId="15" fillId="3" borderId="0" xfId="7" applyNumberFormat="1" applyFont="1" applyFill="1" applyBorder="1" applyAlignment="1">
      <alignment horizontal="center" vertical="center"/>
    </xf>
    <xf numFmtId="165" fontId="15" fillId="3" borderId="0" xfId="1" applyFont="1" applyFill="1" applyBorder="1" applyAlignment="1">
      <alignment horizontal="center" vertical="center"/>
    </xf>
    <xf numFmtId="170" fontId="9" fillId="14" borderId="3" xfId="5" applyNumberFormat="1" applyFont="1" applyFill="1" applyBorder="1" applyAlignment="1">
      <alignment horizontal="center" vertical="center"/>
    </xf>
    <xf numFmtId="169" fontId="9" fillId="0" borderId="20" xfId="5" applyNumberFormat="1" applyFont="1" applyBorder="1" applyAlignment="1">
      <alignment horizontal="center"/>
    </xf>
    <xf numFmtId="0" fontId="9" fillId="0" borderId="0" xfId="0" applyFont="1" applyAlignment="1">
      <alignment horizontal="center" vertical="center"/>
    </xf>
    <xf numFmtId="173" fontId="9" fillId="0" borderId="0" xfId="0" applyNumberFormat="1" applyFont="1" applyAlignment="1">
      <alignment horizontal="center" vertical="center"/>
    </xf>
    <xf numFmtId="165" fontId="15" fillId="0" borderId="0" xfId="7" applyNumberFormat="1" applyFont="1" applyFill="1" applyBorder="1" applyAlignment="1">
      <alignment horizontal="center" vertical="center"/>
    </xf>
    <xf numFmtId="168" fontId="25" fillId="3" borderId="0" xfId="1" applyNumberFormat="1" applyFont="1" applyFill="1" applyBorder="1" applyAlignment="1">
      <alignment horizontal="center" vertical="center"/>
    </xf>
    <xf numFmtId="0" fontId="45" fillId="3" borderId="0" xfId="5" applyFont="1" applyFill="1" applyAlignment="1">
      <alignment wrapText="1"/>
    </xf>
    <xf numFmtId="174" fontId="45" fillId="3" borderId="0" xfId="5" applyNumberFormat="1" applyFont="1" applyFill="1" applyAlignment="1">
      <alignment horizontal="center" vertical="center"/>
    </xf>
    <xf numFmtId="0" fontId="33" fillId="3" borderId="0" xfId="5" applyFont="1" applyFill="1" applyAlignment="1">
      <alignment horizontal="center" vertical="top" wrapText="1"/>
    </xf>
    <xf numFmtId="0" fontId="33" fillId="3" borderId="0" xfId="5" applyFont="1" applyFill="1" applyAlignment="1">
      <alignment vertical="center" wrapText="1"/>
    </xf>
    <xf numFmtId="0" fontId="68" fillId="3" borderId="0" xfId="5" applyFont="1" applyFill="1"/>
    <xf numFmtId="0" fontId="21" fillId="3" borderId="0" xfId="5" applyFont="1" applyFill="1" applyAlignment="1">
      <alignment vertical="center"/>
    </xf>
    <xf numFmtId="0" fontId="21" fillId="3" borderId="22" xfId="5" applyFont="1" applyFill="1" applyBorder="1" applyAlignment="1">
      <alignment wrapText="1"/>
    </xf>
    <xf numFmtId="0" fontId="40" fillId="3" borderId="14" xfId="6" applyFont="1" applyFill="1" applyBorder="1"/>
    <xf numFmtId="173" fontId="9" fillId="3" borderId="0" xfId="5" applyNumberFormat="1" applyFont="1" applyFill="1"/>
    <xf numFmtId="169" fontId="6" fillId="3" borderId="0" xfId="4" applyNumberFormat="1" applyFont="1" applyFill="1" applyBorder="1"/>
    <xf numFmtId="165" fontId="14" fillId="3" borderId="0" xfId="5" applyNumberFormat="1" applyFont="1" applyFill="1"/>
    <xf numFmtId="2" fontId="32" fillId="14" borderId="0" xfId="5" applyNumberFormat="1" applyFont="1" applyFill="1" applyAlignment="1">
      <alignment horizontal="center" vertical="center" wrapText="1"/>
    </xf>
    <xf numFmtId="174" fontId="32" fillId="14" borderId="0" xfId="5" applyNumberFormat="1" applyFont="1" applyFill="1" applyAlignment="1">
      <alignment horizontal="center" vertical="center" wrapText="1"/>
    </xf>
    <xf numFmtId="172" fontId="45" fillId="6" borderId="0" xfId="5" applyNumberFormat="1" applyFont="1" applyFill="1" applyAlignment="1">
      <alignment horizontal="center" vertical="center" wrapText="1"/>
    </xf>
    <xf numFmtId="172" fontId="45" fillId="3" borderId="0" xfId="5" applyNumberFormat="1" applyFont="1" applyFill="1" applyAlignment="1">
      <alignment horizontal="center" vertical="center" wrapText="1"/>
    </xf>
    <xf numFmtId="172" fontId="45" fillId="6" borderId="0" xfId="5" applyNumberFormat="1" applyFont="1" applyFill="1" applyAlignment="1">
      <alignment horizontal="center" vertical="top" wrapText="1"/>
    </xf>
    <xf numFmtId="172" fontId="45" fillId="3" borderId="0" xfId="5" applyNumberFormat="1" applyFont="1" applyFill="1" applyAlignment="1">
      <alignment horizontal="center" vertical="top" wrapText="1"/>
    </xf>
    <xf numFmtId="172" fontId="45" fillId="6" borderId="24" xfId="5" applyNumberFormat="1" applyFont="1" applyFill="1" applyBorder="1" applyAlignment="1">
      <alignment horizontal="center" vertical="top" wrapText="1"/>
    </xf>
    <xf numFmtId="172" fontId="45" fillId="3" borderId="24" xfId="5" applyNumberFormat="1" applyFont="1" applyFill="1" applyBorder="1" applyAlignment="1">
      <alignment horizontal="center" vertical="top" wrapText="1"/>
    </xf>
    <xf numFmtId="0" fontId="21" fillId="6" borderId="22" xfId="5" applyFont="1" applyFill="1" applyBorder="1" applyAlignment="1">
      <alignment vertical="top" wrapText="1"/>
    </xf>
    <xf numFmtId="0" fontId="21" fillId="6" borderId="25" xfId="5" applyFont="1" applyFill="1" applyBorder="1" applyAlignment="1">
      <alignment horizontal="center" vertical="top" wrapText="1"/>
    </xf>
    <xf numFmtId="0" fontId="21" fillId="6" borderId="14" xfId="5" applyFont="1" applyFill="1" applyBorder="1" applyAlignment="1">
      <alignment vertical="center" wrapText="1"/>
    </xf>
    <xf numFmtId="0" fontId="21" fillId="6" borderId="14" xfId="5" applyFont="1" applyFill="1" applyBorder="1" applyAlignment="1">
      <alignment vertical="top" wrapText="1"/>
    </xf>
    <xf numFmtId="0" fontId="21" fillId="6" borderId="14" xfId="5" applyFont="1" applyFill="1" applyBorder="1"/>
    <xf numFmtId="0" fontId="21" fillId="6" borderId="18" xfId="5" applyFont="1" applyFill="1" applyBorder="1" applyAlignment="1">
      <alignment vertical="top" wrapText="1"/>
    </xf>
    <xf numFmtId="2" fontId="32" fillId="14" borderId="0" xfId="5" applyNumberFormat="1" applyFont="1" applyFill="1" applyAlignment="1">
      <alignment horizontal="center" vertical="top" wrapText="1"/>
    </xf>
    <xf numFmtId="3" fontId="32" fillId="14" borderId="0" xfId="5" applyNumberFormat="1" applyFont="1" applyFill="1" applyAlignment="1">
      <alignment horizontal="center" vertical="top" wrapText="1"/>
    </xf>
    <xf numFmtId="2" fontId="33" fillId="14" borderId="0" xfId="5" applyNumberFormat="1" applyFont="1" applyFill="1" applyAlignment="1">
      <alignment horizontal="center" vertical="top" wrapText="1"/>
    </xf>
    <xf numFmtId="169" fontId="32" fillId="14" borderId="0" xfId="4" applyNumberFormat="1" applyFont="1" applyFill="1" applyAlignment="1">
      <alignment horizontal="center" vertical="top" wrapText="1"/>
    </xf>
    <xf numFmtId="169" fontId="34" fillId="14" borderId="0" xfId="4" applyNumberFormat="1" applyFont="1" applyFill="1" applyAlignment="1">
      <alignment horizontal="center" vertical="top" wrapText="1"/>
    </xf>
    <xf numFmtId="176" fontId="33" fillId="14" borderId="0" xfId="5" applyNumberFormat="1" applyFont="1" applyFill="1" applyAlignment="1">
      <alignment vertical="center" wrapText="1"/>
    </xf>
    <xf numFmtId="169" fontId="6" fillId="14" borderId="0" xfId="5" applyNumberFormat="1" applyFill="1"/>
    <xf numFmtId="9" fontId="21" fillId="9" borderId="5" xfId="4" applyFont="1" applyFill="1" applyBorder="1" applyAlignment="1">
      <alignment horizontal="center" vertical="center"/>
    </xf>
    <xf numFmtId="9" fontId="21" fillId="9" borderId="6" xfId="4" applyFont="1" applyFill="1" applyBorder="1" applyAlignment="1">
      <alignment horizontal="center" vertical="center"/>
    </xf>
    <xf numFmtId="0" fontId="21" fillId="13" borderId="0" xfId="5" applyFont="1" applyFill="1" applyAlignment="1">
      <alignment horizontal="center"/>
    </xf>
    <xf numFmtId="168" fontId="15" fillId="14" borderId="0" xfId="1" applyNumberFormat="1" applyFont="1" applyFill="1" applyBorder="1"/>
    <xf numFmtId="2" fontId="32" fillId="3" borderId="0" xfId="5" applyNumberFormat="1" applyFont="1" applyFill="1" applyAlignment="1">
      <alignment horizontal="center" vertical="top" wrapText="1"/>
    </xf>
    <xf numFmtId="2" fontId="34" fillId="9" borderId="0" xfId="5" quotePrefix="1" applyNumberFormat="1" applyFont="1" applyFill="1" applyAlignment="1">
      <alignment horizontal="center" vertical="center" wrapText="1"/>
    </xf>
    <xf numFmtId="174" fontId="20" fillId="14" borderId="0" xfId="5" applyNumberFormat="1" applyFont="1" applyFill="1"/>
    <xf numFmtId="174" fontId="23" fillId="14" borderId="0" xfId="5" applyNumberFormat="1" applyFont="1" applyFill="1" applyAlignment="1">
      <alignment horizontal="center"/>
    </xf>
    <xf numFmtId="0" fontId="15" fillId="3" borderId="0" xfId="5" applyFont="1" applyFill="1" applyAlignment="1">
      <alignment horizontal="right"/>
    </xf>
    <xf numFmtId="0" fontId="15" fillId="3" borderId="0" xfId="5" applyFont="1" applyFill="1" applyAlignment="1">
      <alignment horizontal="right" vertical="center"/>
    </xf>
    <xf numFmtId="0" fontId="15" fillId="3" borderId="0" xfId="5" applyFont="1" applyFill="1" applyAlignment="1">
      <alignment horizontal="center"/>
    </xf>
    <xf numFmtId="0" fontId="9" fillId="10" borderId="0" xfId="5" applyFont="1" applyFill="1"/>
    <xf numFmtId="14" fontId="15" fillId="10" borderId="0" xfId="5" applyNumberFormat="1" applyFont="1" applyFill="1" applyAlignment="1">
      <alignment horizontal="right"/>
    </xf>
    <xf numFmtId="1" fontId="15" fillId="10" borderId="0" xfId="5" applyNumberFormat="1" applyFont="1" applyFill="1" applyAlignment="1">
      <alignment horizontal="right"/>
    </xf>
    <xf numFmtId="168" fontId="14" fillId="14" borderId="0" xfId="1" applyNumberFormat="1" applyFont="1" applyFill="1" applyBorder="1" applyAlignment="1">
      <alignment horizontal="center" vertical="center"/>
    </xf>
    <xf numFmtId="181" fontId="6" fillId="3" borderId="0" xfId="5" applyNumberFormat="1" applyFill="1"/>
    <xf numFmtId="0" fontId="2" fillId="3" borderId="0" xfId="6" applyFont="1" applyFill="1"/>
    <xf numFmtId="178" fontId="6" fillId="0" borderId="0" xfId="1" applyNumberFormat="1" applyFont="1" applyFill="1" applyBorder="1"/>
    <xf numFmtId="10" fontId="9" fillId="0" borderId="29" xfId="5" applyNumberFormat="1" applyFont="1" applyBorder="1" applyAlignment="1">
      <alignment horizontal="center"/>
    </xf>
    <xf numFmtId="2" fontId="0" fillId="0" borderId="0" xfId="0" applyNumberFormat="1" applyAlignment="1">
      <alignment horizontal="right"/>
    </xf>
    <xf numFmtId="172" fontId="0" fillId="0" borderId="0" xfId="0" applyNumberFormat="1" applyAlignment="1">
      <alignment horizontal="right"/>
    </xf>
    <xf numFmtId="3" fontId="0" fillId="0" borderId="0" xfId="0" applyNumberFormat="1" applyAlignment="1">
      <alignment horizontal="right"/>
    </xf>
    <xf numFmtId="9" fontId="0" fillId="0" borderId="0" xfId="4" applyFont="1" applyAlignment="1">
      <alignment horizontal="right"/>
    </xf>
    <xf numFmtId="182" fontId="20" fillId="3" borderId="0" xfId="5" applyNumberFormat="1" applyFont="1" applyFill="1"/>
    <xf numFmtId="0" fontId="2" fillId="3" borderId="0" xfId="6" applyFont="1" applyFill="1" applyAlignment="1">
      <alignment horizontal="center" vertical="center"/>
    </xf>
    <xf numFmtId="0" fontId="2" fillId="3" borderId="0" xfId="6" applyFont="1" applyFill="1" applyAlignment="1">
      <alignment horizontal="center"/>
    </xf>
    <xf numFmtId="9" fontId="2" fillId="3" borderId="0" xfId="6" applyNumberFormat="1" applyFont="1" applyFill="1" applyAlignment="1">
      <alignment horizontal="center"/>
    </xf>
    <xf numFmtId="0" fontId="2" fillId="0" borderId="0" xfId="6" applyFont="1"/>
    <xf numFmtId="172" fontId="2" fillId="3" borderId="0" xfId="6" applyNumberFormat="1" applyFont="1" applyFill="1" applyAlignment="1">
      <alignment horizontal="center" vertical="center"/>
    </xf>
    <xf numFmtId="172" fontId="2" fillId="3" borderId="0" xfId="6" applyNumberFormat="1" applyFont="1" applyFill="1" applyAlignment="1">
      <alignment horizontal="center"/>
    </xf>
    <xf numFmtId="0" fontId="2" fillId="3" borderId="0" xfId="6" applyFont="1" applyFill="1" applyAlignment="1">
      <alignment horizontal="left" vertical="center"/>
    </xf>
    <xf numFmtId="174" fontId="2" fillId="3" borderId="0" xfId="1" applyNumberFormat="1" applyFont="1" applyFill="1" applyAlignment="1">
      <alignment horizontal="center"/>
    </xf>
    <xf numFmtId="3" fontId="2" fillId="3" borderId="0" xfId="1" applyNumberFormat="1" applyFont="1" applyFill="1" applyBorder="1" applyAlignment="1">
      <alignment horizontal="center"/>
    </xf>
    <xf numFmtId="3" fontId="2" fillId="3" borderId="0" xfId="6" applyNumberFormat="1" applyFont="1" applyFill="1" applyAlignment="1">
      <alignment horizontal="center"/>
    </xf>
    <xf numFmtId="9" fontId="2" fillId="3" borderId="0" xfId="4" applyFont="1" applyFill="1" applyBorder="1" applyAlignment="1">
      <alignment horizontal="center"/>
    </xf>
    <xf numFmtId="169" fontId="2" fillId="3" borderId="0" xfId="6" applyNumberFormat="1" applyFont="1" applyFill="1" applyAlignment="1">
      <alignment horizontal="center"/>
    </xf>
    <xf numFmtId="0" fontId="2" fillId="11" borderId="0" xfId="6" applyFont="1" applyFill="1" applyAlignment="1">
      <alignment horizontal="center"/>
    </xf>
    <xf numFmtId="174" fontId="2" fillId="11" borderId="0" xfId="1" applyNumberFormat="1" applyFont="1" applyFill="1" applyAlignment="1">
      <alignment horizontal="center"/>
    </xf>
    <xf numFmtId="169" fontId="2" fillId="3" borderId="0" xfId="4" applyNumberFormat="1" applyFont="1" applyFill="1" applyAlignment="1">
      <alignment horizontal="center"/>
    </xf>
    <xf numFmtId="1" fontId="2" fillId="3" borderId="0" xfId="4" applyNumberFormat="1" applyFont="1" applyFill="1" applyAlignment="1">
      <alignment horizontal="center"/>
    </xf>
    <xf numFmtId="165" fontId="2" fillId="3" borderId="0" xfId="1" applyFont="1" applyFill="1" applyAlignment="1">
      <alignment horizontal="center"/>
    </xf>
    <xf numFmtId="0" fontId="2" fillId="10" borderId="0" xfId="6" applyFont="1" applyFill="1" applyAlignment="1">
      <alignment horizontal="center" vertical="center"/>
    </xf>
    <xf numFmtId="0" fontId="2" fillId="10" borderId="0" xfId="6" applyFont="1" applyFill="1" applyAlignment="1">
      <alignment horizontal="center"/>
    </xf>
    <xf numFmtId="1" fontId="2" fillId="3" borderId="0" xfId="6" applyNumberFormat="1" applyFont="1" applyFill="1" applyAlignment="1">
      <alignment horizontal="center" vertical="center"/>
    </xf>
    <xf numFmtId="1" fontId="2" fillId="3" borderId="0" xfId="6" applyNumberFormat="1" applyFont="1" applyFill="1" applyAlignment="1">
      <alignment horizontal="center"/>
    </xf>
    <xf numFmtId="179" fontId="2" fillId="3" borderId="0" xfId="1" applyNumberFormat="1" applyFont="1" applyFill="1" applyAlignment="1">
      <alignment horizontal="center"/>
    </xf>
    <xf numFmtId="179" fontId="2" fillId="3" borderId="0" xfId="1" applyNumberFormat="1" applyFont="1" applyFill="1" applyBorder="1" applyAlignment="1">
      <alignment horizontal="center"/>
    </xf>
    <xf numFmtId="10" fontId="2" fillId="3" borderId="0" xfId="6" applyNumberFormat="1" applyFont="1" applyFill="1" applyAlignment="1">
      <alignment horizontal="center"/>
    </xf>
    <xf numFmtId="168" fontId="2" fillId="3" borderId="0" xfId="1" applyNumberFormat="1" applyFont="1" applyFill="1" applyBorder="1" applyAlignment="1">
      <alignment horizontal="center"/>
    </xf>
    <xf numFmtId="165" fontId="2" fillId="11" borderId="0" xfId="1" applyFont="1" applyFill="1" applyBorder="1" applyAlignment="1">
      <alignment horizontal="center"/>
    </xf>
    <xf numFmtId="10" fontId="2" fillId="3" borderId="0" xfId="4" applyNumberFormat="1" applyFont="1" applyFill="1" applyAlignment="1">
      <alignment horizontal="center"/>
    </xf>
    <xf numFmtId="172" fontId="2" fillId="18" borderId="0" xfId="4" applyNumberFormat="1" applyFont="1" applyFill="1" applyAlignment="1">
      <alignment horizontal="center"/>
    </xf>
    <xf numFmtId="165" fontId="2" fillId="3" borderId="0" xfId="1" applyFont="1" applyFill="1" applyBorder="1" applyAlignment="1">
      <alignment horizontal="center"/>
    </xf>
    <xf numFmtId="0" fontId="2" fillId="9" borderId="0" xfId="6" applyFont="1" applyFill="1"/>
    <xf numFmtId="0" fontId="2" fillId="9" borderId="0" xfId="6" applyFont="1" applyFill="1" applyAlignment="1">
      <alignment horizontal="center" vertical="center"/>
    </xf>
    <xf numFmtId="0" fontId="2" fillId="9" borderId="0" xfId="6" applyFont="1" applyFill="1" applyAlignment="1">
      <alignment horizontal="center"/>
    </xf>
    <xf numFmtId="170" fontId="2" fillId="3" borderId="0" xfId="1" applyNumberFormat="1" applyFont="1" applyFill="1" applyAlignment="1">
      <alignment horizontal="center"/>
    </xf>
    <xf numFmtId="0" fontId="2" fillId="19" borderId="0" xfId="6" applyFont="1" applyFill="1"/>
    <xf numFmtId="0" fontId="2" fillId="19" borderId="0" xfId="6" applyFont="1" applyFill="1" applyAlignment="1">
      <alignment horizontal="center" vertical="center"/>
    </xf>
    <xf numFmtId="0" fontId="2" fillId="19" borderId="0" xfId="6" applyFont="1" applyFill="1" applyAlignment="1">
      <alignment horizontal="center"/>
    </xf>
    <xf numFmtId="172" fontId="2" fillId="3" borderId="0" xfId="6" applyNumberFormat="1" applyFont="1" applyFill="1"/>
    <xf numFmtId="0" fontId="2" fillId="3" borderId="25" xfId="6" applyFont="1" applyFill="1" applyBorder="1"/>
    <xf numFmtId="0" fontId="2" fillId="3" borderId="23" xfId="6" applyFont="1" applyFill="1" applyBorder="1"/>
    <xf numFmtId="0" fontId="2" fillId="3" borderId="15" xfId="6" applyFont="1" applyFill="1" applyBorder="1"/>
    <xf numFmtId="2" fontId="2" fillId="3" borderId="0" xfId="6" applyNumberFormat="1" applyFont="1" applyFill="1"/>
    <xf numFmtId="0" fontId="2" fillId="3" borderId="24" xfId="6" applyFont="1" applyFill="1" applyBorder="1"/>
    <xf numFmtId="0" fontId="2" fillId="3" borderId="17" xfId="6" applyFont="1" applyFill="1" applyBorder="1"/>
    <xf numFmtId="0" fontId="6" fillId="3" borderId="0" xfId="0" applyFont="1" applyFill="1" applyAlignment="1">
      <alignment horizontal="center"/>
    </xf>
    <xf numFmtId="2" fontId="6" fillId="0" borderId="0" xfId="0" applyNumberFormat="1" applyFont="1" applyAlignment="1">
      <alignment horizontal="right"/>
    </xf>
    <xf numFmtId="174" fontId="6" fillId="0" borderId="0" xfId="0" applyNumberFormat="1" applyFont="1" applyAlignment="1">
      <alignment horizontal="right"/>
    </xf>
    <xf numFmtId="9" fontId="45" fillId="3" borderId="0" xfId="4" applyFont="1" applyFill="1" applyBorder="1" applyAlignment="1">
      <alignment horizontal="center"/>
    </xf>
    <xf numFmtId="0" fontId="9" fillId="18" borderId="0" xfId="0" applyFont="1" applyFill="1"/>
    <xf numFmtId="0" fontId="77" fillId="3" borderId="0" xfId="5" applyFont="1" applyFill="1" applyAlignment="1">
      <alignment horizontal="center" vertical="center"/>
    </xf>
    <xf numFmtId="9" fontId="77" fillId="14" borderId="8" xfId="5" applyNumberFormat="1" applyFont="1" applyFill="1" applyBorder="1" applyAlignment="1">
      <alignment horizontal="center" vertical="center"/>
    </xf>
    <xf numFmtId="168" fontId="71" fillId="14" borderId="0" xfId="1" applyNumberFormat="1" applyFont="1" applyFill="1" applyBorder="1" applyAlignment="1">
      <alignment horizontal="center" vertical="center"/>
    </xf>
    <xf numFmtId="0" fontId="45" fillId="3" borderId="0" xfId="5" applyFont="1" applyFill="1" applyBorder="1"/>
    <xf numFmtId="0" fontId="54" fillId="3" borderId="0" xfId="5" applyFont="1" applyFill="1" applyBorder="1" applyAlignment="1">
      <alignment horizontal="center" vertical="center"/>
    </xf>
    <xf numFmtId="0" fontId="45" fillId="3" borderId="0" xfId="5" applyFont="1" applyFill="1" applyBorder="1" applyAlignment="1">
      <alignment horizontal="center"/>
    </xf>
    <xf numFmtId="0" fontId="4" fillId="3" borderId="0" xfId="6" applyFont="1" applyFill="1" applyBorder="1"/>
    <xf numFmtId="0" fontId="67" fillId="3" borderId="0" xfId="5" applyFont="1" applyFill="1" applyBorder="1"/>
    <xf numFmtId="0" fontId="45" fillId="3" borderId="0" xfId="0" applyFont="1" applyFill="1" applyBorder="1"/>
    <xf numFmtId="10" fontId="45" fillId="3" borderId="0" xfId="0" applyNumberFormat="1" applyFont="1" applyFill="1" applyBorder="1" applyAlignment="1">
      <alignment horizontal="center"/>
    </xf>
    <xf numFmtId="10" fontId="21" fillId="3" borderId="0" xfId="0" applyNumberFormat="1" applyFont="1" applyFill="1" applyBorder="1" applyAlignment="1">
      <alignment horizontal="center"/>
    </xf>
    <xf numFmtId="0" fontId="67" fillId="3" borderId="0" xfId="0" applyFont="1" applyFill="1" applyBorder="1"/>
    <xf numFmtId="170" fontId="45" fillId="3" borderId="0" xfId="0" applyNumberFormat="1" applyFont="1" applyFill="1" applyBorder="1" applyAlignment="1">
      <alignment horizontal="center"/>
    </xf>
    <xf numFmtId="0" fontId="2" fillId="3" borderId="0" xfId="6" applyFont="1" applyFill="1" applyBorder="1"/>
    <xf numFmtId="0" fontId="2" fillId="3" borderId="0" xfId="6" applyFont="1" applyFill="1" applyBorder="1" applyAlignment="1">
      <alignment horizontal="center" vertical="center"/>
    </xf>
    <xf numFmtId="0" fontId="2" fillId="3" borderId="0" xfId="6" applyFont="1" applyFill="1" applyBorder="1" applyAlignment="1">
      <alignment horizontal="center"/>
    </xf>
    <xf numFmtId="9" fontId="2" fillId="3" borderId="0" xfId="6" applyNumberFormat="1" applyFont="1" applyFill="1" applyBorder="1" applyAlignment="1">
      <alignment horizontal="center"/>
    </xf>
    <xf numFmtId="174" fontId="2" fillId="3" borderId="0" xfId="6" applyNumberFormat="1" applyFont="1" applyFill="1" applyBorder="1" applyAlignment="1">
      <alignment horizontal="center"/>
    </xf>
    <xf numFmtId="10" fontId="2" fillId="3" borderId="0" xfId="6" applyNumberFormat="1" applyFont="1" applyFill="1" applyBorder="1" applyAlignment="1">
      <alignment horizontal="center" vertical="center"/>
    </xf>
    <xf numFmtId="169" fontId="2" fillId="3" borderId="0" xfId="6" applyNumberFormat="1" applyFont="1" applyFill="1" applyBorder="1" applyAlignment="1">
      <alignment horizontal="center"/>
    </xf>
    <xf numFmtId="174" fontId="2" fillId="3" borderId="0" xfId="6" applyNumberFormat="1" applyFont="1" applyFill="1" applyBorder="1"/>
    <xf numFmtId="10" fontId="2" fillId="3" borderId="0" xfId="6" applyNumberFormat="1" applyFont="1" applyFill="1" applyBorder="1" applyAlignment="1">
      <alignment horizontal="center"/>
    </xf>
    <xf numFmtId="174" fontId="75" fillId="3" borderId="0" xfId="6" applyNumberFormat="1" applyFont="1" applyFill="1" applyBorder="1"/>
    <xf numFmtId="0" fontId="32" fillId="3" borderId="14" xfId="5" applyFont="1" applyFill="1" applyBorder="1"/>
    <xf numFmtId="2" fontId="33" fillId="3" borderId="0" xfId="5" applyNumberFormat="1" applyFont="1" applyFill="1" applyAlignment="1">
      <alignment horizontal="center" vertical="top" wrapText="1"/>
    </xf>
    <xf numFmtId="0" fontId="32" fillId="3" borderId="15" xfId="5" applyFont="1" applyFill="1" applyBorder="1"/>
    <xf numFmtId="0" fontId="78" fillId="18" borderId="0" xfId="9" applyFont="1" applyFill="1"/>
    <xf numFmtId="0" fontId="79" fillId="18" borderId="0" xfId="0" applyFont="1" applyFill="1"/>
    <xf numFmtId="174" fontId="15" fillId="0" borderId="0" xfId="5" applyNumberFormat="1" applyFont="1" applyFill="1" applyAlignment="1">
      <alignment horizontal="center"/>
    </xf>
    <xf numFmtId="174" fontId="15" fillId="0" borderId="0" xfId="1" applyNumberFormat="1" applyFont="1" applyFill="1" applyAlignment="1">
      <alignment horizontal="center"/>
    </xf>
    <xf numFmtId="169" fontId="14" fillId="0" borderId="0" xfId="5" applyNumberFormat="1" applyFont="1" applyFill="1" applyAlignment="1">
      <alignment horizontal="center"/>
    </xf>
    <xf numFmtId="169" fontId="57" fillId="14" borderId="0" xfId="5" applyNumberFormat="1" applyFont="1" applyFill="1" applyAlignment="1">
      <alignment horizontal="center"/>
    </xf>
    <xf numFmtId="169" fontId="80" fillId="14" borderId="0" xfId="5" applyNumberFormat="1" applyFont="1" applyFill="1" applyAlignment="1">
      <alignment horizontal="center"/>
    </xf>
    <xf numFmtId="174" fontId="16" fillId="0" borderId="0" xfId="1" applyNumberFormat="1" applyFont="1" applyFill="1" applyBorder="1" applyAlignment="1">
      <alignment horizontal="center"/>
    </xf>
    <xf numFmtId="174" fontId="37" fillId="0" borderId="0" xfId="5" applyNumberFormat="1" applyFont="1" applyFill="1" applyAlignment="1">
      <alignment horizontal="center"/>
    </xf>
    <xf numFmtId="169" fontId="14" fillId="0" borderId="0" xfId="4" applyNumberFormat="1" applyFont="1" applyFill="1" applyAlignment="1">
      <alignment horizontal="center"/>
    </xf>
    <xf numFmtId="169" fontId="14" fillId="0" borderId="0" xfId="5" applyNumberFormat="1" applyFont="1" applyFill="1"/>
    <xf numFmtId="0" fontId="9" fillId="0" borderId="0" xfId="5" applyFont="1" applyFill="1"/>
    <xf numFmtId="174" fontId="14" fillId="0" borderId="0" xfId="1" applyNumberFormat="1" applyFont="1" applyFill="1" applyAlignment="1">
      <alignment horizontal="center"/>
    </xf>
    <xf numFmtId="174" fontId="14" fillId="0" borderId="0" xfId="1" applyNumberFormat="1" applyFont="1" applyFill="1" applyBorder="1" applyAlignment="1">
      <alignment horizontal="center"/>
    </xf>
    <xf numFmtId="0" fontId="6" fillId="0" borderId="0" xfId="5" applyFill="1"/>
    <xf numFmtId="0" fontId="15" fillId="8" borderId="0" xfId="5" applyFont="1" applyFill="1"/>
    <xf numFmtId="0" fontId="15" fillId="8" borderId="20" xfId="5" applyFont="1" applyFill="1" applyBorder="1" applyAlignment="1">
      <alignment horizontal="center"/>
    </xf>
    <xf numFmtId="174" fontId="15" fillId="8" borderId="0" xfId="5" applyNumberFormat="1" applyFont="1" applyFill="1" applyAlignment="1">
      <alignment horizontal="center"/>
    </xf>
    <xf numFmtId="174" fontId="16" fillId="0" borderId="0" xfId="1" applyNumberFormat="1" applyFont="1" applyFill="1" applyAlignment="1">
      <alignment horizontal="center"/>
    </xf>
    <xf numFmtId="174" fontId="9" fillId="0" borderId="0" xfId="5" applyNumberFormat="1" applyFont="1" applyFill="1" applyAlignment="1">
      <alignment horizontal="center"/>
    </xf>
    <xf numFmtId="0" fontId="57" fillId="8" borderId="0" xfId="5" applyFont="1" applyFill="1"/>
    <xf numFmtId="172" fontId="15" fillId="8" borderId="20" xfId="5" applyNumberFormat="1" applyFont="1" applyFill="1" applyBorder="1" applyAlignment="1">
      <alignment horizontal="center"/>
    </xf>
    <xf numFmtId="4" fontId="57" fillId="8" borderId="0" xfId="5" applyNumberFormat="1" applyFont="1" applyFill="1" applyAlignment="1">
      <alignment horizontal="center"/>
    </xf>
    <xf numFmtId="9" fontId="11" fillId="14" borderId="0" xfId="4" applyFont="1" applyFill="1" applyBorder="1" applyAlignment="1">
      <alignment horizontal="center"/>
    </xf>
    <xf numFmtId="0" fontId="9" fillId="8" borderId="0" xfId="5" applyFont="1" applyFill="1"/>
    <xf numFmtId="0" fontId="6" fillId="8" borderId="20" xfId="5" applyFill="1" applyBorder="1"/>
    <xf numFmtId="169" fontId="9" fillId="8" borderId="0" xfId="4" applyNumberFormat="1" applyFont="1" applyFill="1" applyBorder="1" applyAlignment="1">
      <alignment horizontal="center"/>
    </xf>
    <xf numFmtId="172" fontId="6" fillId="8" borderId="0" xfId="5" applyNumberFormat="1" applyFill="1" applyAlignment="1">
      <alignment horizontal="center"/>
    </xf>
    <xf numFmtId="0" fontId="59" fillId="17" borderId="0" xfId="5" applyFont="1" applyFill="1" applyAlignment="1">
      <alignment horizontal="left" vertical="center" wrapText="1"/>
    </xf>
    <xf numFmtId="178" fontId="9" fillId="20" borderId="0" xfId="5" applyNumberFormat="1" applyFont="1" applyFill="1" applyBorder="1" applyAlignment="1">
      <alignment horizontal="center"/>
    </xf>
    <xf numFmtId="178" fontId="9" fillId="21" borderId="2" xfId="5" applyNumberFormat="1" applyFont="1" applyFill="1" applyBorder="1" applyAlignment="1">
      <alignment horizontal="center"/>
    </xf>
    <xf numFmtId="174" fontId="77" fillId="14" borderId="25" xfId="5" applyNumberFormat="1" applyFont="1" applyFill="1" applyBorder="1" applyAlignment="1">
      <alignment horizontal="center" vertical="center"/>
    </xf>
    <xf numFmtId="4" fontId="77" fillId="14" borderId="24" xfId="5" applyNumberFormat="1" applyFont="1" applyFill="1" applyBorder="1" applyAlignment="1">
      <alignment horizontal="center" vertical="center"/>
    </xf>
    <xf numFmtId="0" fontId="21" fillId="3" borderId="11" xfId="5" applyFont="1" applyFill="1" applyBorder="1" applyAlignment="1"/>
    <xf numFmtId="174" fontId="77" fillId="14" borderId="26" xfId="5" applyNumberFormat="1" applyFont="1" applyFill="1" applyBorder="1" applyAlignment="1">
      <alignment horizontal="center" vertical="center"/>
    </xf>
    <xf numFmtId="174" fontId="77" fillId="14" borderId="9" xfId="5" applyNumberFormat="1" applyFont="1" applyFill="1" applyBorder="1" applyAlignment="1">
      <alignment horizontal="center" vertical="center"/>
    </xf>
    <xf numFmtId="0" fontId="40" fillId="3" borderId="16" xfId="6" applyFont="1" applyFill="1" applyBorder="1"/>
    <xf numFmtId="43" fontId="2" fillId="3" borderId="16" xfId="6" applyNumberFormat="1" applyFont="1" applyFill="1" applyBorder="1" applyAlignment="1">
      <alignment horizontal="center"/>
    </xf>
    <xf numFmtId="0" fontId="2" fillId="3" borderId="1" xfId="6" applyFont="1" applyFill="1" applyBorder="1" applyAlignment="1">
      <alignment horizontal="center"/>
    </xf>
    <xf numFmtId="43" fontId="2" fillId="3" borderId="9" xfId="6" applyNumberFormat="1" applyFont="1" applyFill="1" applyBorder="1" applyAlignment="1">
      <alignment horizontal="center"/>
    </xf>
    <xf numFmtId="0" fontId="1" fillId="22" borderId="11" xfId="6" applyFont="1" applyFill="1" applyBorder="1" applyAlignment="1">
      <alignment horizontal="center"/>
    </xf>
    <xf numFmtId="0" fontId="1" fillId="22" borderId="12" xfId="6" applyFont="1" applyFill="1" applyBorder="1" applyAlignment="1"/>
    <xf numFmtId="0" fontId="2" fillId="22" borderId="12" xfId="6" applyFont="1" applyFill="1" applyBorder="1" applyAlignment="1">
      <alignment horizontal="center"/>
    </xf>
    <xf numFmtId="0" fontId="1" fillId="22" borderId="26" xfId="6" applyFont="1" applyFill="1" applyBorder="1" applyAlignment="1"/>
    <xf numFmtId="43" fontId="40" fillId="3" borderId="9" xfId="6" applyNumberFormat="1" applyFont="1" applyFill="1" applyBorder="1" applyAlignment="1">
      <alignment horizontal="center"/>
    </xf>
    <xf numFmtId="0" fontId="1" fillId="3" borderId="11" xfId="6" applyFont="1" applyFill="1" applyBorder="1" applyAlignment="1">
      <alignment horizontal="left"/>
    </xf>
    <xf numFmtId="165" fontId="2" fillId="3" borderId="26" xfId="1" applyFont="1" applyFill="1" applyBorder="1" applyAlignment="1">
      <alignment horizontal="center"/>
    </xf>
    <xf numFmtId="0" fontId="1" fillId="3" borderId="13" xfId="6" applyFont="1" applyFill="1" applyBorder="1" applyAlignment="1">
      <alignment horizontal="left"/>
    </xf>
    <xf numFmtId="43" fontId="2" fillId="3" borderId="10" xfId="6" applyNumberFormat="1" applyFont="1" applyFill="1" applyBorder="1" applyAlignment="1">
      <alignment horizontal="center"/>
    </xf>
    <xf numFmtId="0" fontId="1" fillId="3" borderId="16" xfId="6" applyFont="1" applyFill="1" applyBorder="1" applyAlignment="1">
      <alignment horizontal="left"/>
    </xf>
  </cellXfs>
  <cellStyles count="14">
    <cellStyle name="Comma" xfId="1" builtinId="3"/>
    <cellStyle name="Comma 2" xfId="7"/>
    <cellStyle name="Comma 2 2" xfId="12"/>
    <cellStyle name="Currency" xfId="2" builtinId="4"/>
    <cellStyle name="Hyperlink" xfId="9" builtinId="8"/>
    <cellStyle name="Normal" xfId="0" builtinId="0"/>
    <cellStyle name="Normal 2" xfId="3"/>
    <cellStyle name="Normal 2 2" xfId="10"/>
    <cellStyle name="Normal 3" xfId="5"/>
    <cellStyle name="Normal 4" xfId="6"/>
    <cellStyle name="Normal 4 2" xfId="11"/>
    <cellStyle name="Percent" xfId="4" builtinId="5"/>
    <cellStyle name="Percent 2" xfId="8"/>
    <cellStyle name="Percent 2 2" xfId="13"/>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9FF99"/>
      <color rgb="FF00FF00"/>
      <color rgb="FFFF99FF"/>
      <color rgb="FF660066"/>
      <color rgb="FFFF0066"/>
      <color rgb="FFFF99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all" baseline="0">
                <a:solidFill>
                  <a:schemeClr val="tx1">
                    <a:lumMod val="65000"/>
                    <a:lumOff val="35000"/>
                  </a:schemeClr>
                </a:solidFill>
                <a:latin typeface="+mn-lt"/>
                <a:ea typeface="+mn-ea"/>
                <a:cs typeface="+mn-cs"/>
              </a:defRPr>
            </a:pPr>
            <a:r>
              <a:rPr lang="en-US" sz="1200"/>
              <a:t>Financing structure</a:t>
            </a:r>
          </a:p>
        </c:rich>
      </c:tx>
      <c:layout/>
      <c:overlay val="0"/>
      <c:spPr>
        <a:noFill/>
        <a:ln>
          <a:noFill/>
        </a:ln>
        <a:effectLst/>
      </c:spPr>
      <c:txPr>
        <a:bodyPr rot="0" spcFirstLastPara="1" vertOverflow="ellipsis" vert="horz" wrap="square" anchor="ctr" anchorCtr="1"/>
        <a:lstStyle/>
        <a:p>
          <a:pPr>
            <a:defRPr sz="1200" b="1" i="0" u="none" strike="noStrike" kern="1200" cap="all"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0-BC73-4D90-A29F-30B15C536E72}"/>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BC73-4D90-A29F-30B15C536E72}"/>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0-BC73-4D90-A29F-30B15C536E72}"/>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1-BC73-4D90-A29F-30B15C536E72}"/>
                </c:ext>
              </c:extLst>
            </c:dLbl>
            <c:spPr>
              <a:noFill/>
              <a:ln>
                <a:noFill/>
              </a:ln>
              <a:effectLst/>
            </c:sp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'1-Cockpit&amp;assumptions'!$C$19:$C$20</c:f>
              <c:strCache>
                <c:ptCount val="2"/>
                <c:pt idx="0">
                  <c:v>Debt</c:v>
                </c:pt>
                <c:pt idx="1">
                  <c:v>Equity</c:v>
                </c:pt>
              </c:strCache>
            </c:strRef>
          </c:cat>
          <c:val>
            <c:numRef>
              <c:f>'1-Cockpit&amp;assumptions'!$D$19:$D$20</c:f>
              <c:numCache>
                <c:formatCode>0%</c:formatCode>
                <c:ptCount val="2"/>
                <c:pt idx="0">
                  <c:v>0.8</c:v>
                </c:pt>
                <c:pt idx="1">
                  <c:v>0.19999999999999996</c:v>
                </c:pt>
              </c:numCache>
            </c:numRef>
          </c:val>
          <c:extLst>
            <c:ext xmlns:c16="http://schemas.microsoft.com/office/drawing/2014/chart" uri="{C3380CC4-5D6E-409C-BE32-E72D297353CC}">
              <c16:uniqueId val="{00000000-51A3-41E4-B82B-C61E4E4E61B7}"/>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6" fmlaLink="$R$85" fmlaRange="$Q$81:$Q$83" noThreeD="1" sel="1"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15</xdr:col>
      <xdr:colOff>619125</xdr:colOff>
      <xdr:row>17</xdr:row>
      <xdr:rowOff>0</xdr:rowOff>
    </xdr:from>
    <xdr:to>
      <xdr:col>17</xdr:col>
      <xdr:colOff>554746</xdr:colOff>
      <xdr:row>18</xdr:row>
      <xdr:rowOff>54610</xdr:rowOff>
    </xdr:to>
    <xdr:sp macro="" textlink="">
      <xdr:nvSpPr>
        <xdr:cNvPr id="4" name="Check Box 1" descr="Synergies Included ?" hidden="1">
          <a:extLst>
            <a:ext uri="{63B3BB69-23CF-44E3-9099-C40C66FF867C}">
              <a14:compatExt xmlns:a14="http://schemas.microsoft.com/office/drawing/2010/main" spid="_x0000_s2049"/>
            </a:ext>
            <a:ext uri="{FF2B5EF4-FFF2-40B4-BE49-F238E27FC236}">
              <a16:creationId xmlns:a16="http://schemas.microsoft.com/office/drawing/2014/main" id="{00000000-0008-0000-0100-000004000000}"/>
            </a:ext>
          </a:extLst>
        </xdr:cNvPr>
        <xdr:cNvSpPr/>
      </xdr:nvSpPr>
      <xdr:spPr bwMode="auto">
        <a:xfrm>
          <a:off x="15013305" y="1600200"/>
          <a:ext cx="1226819" cy="22479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Synergies Included </a:t>
          </a:r>
        </a:p>
      </xdr:txBody>
    </xdr:sp>
    <xdr:clientData/>
  </xdr:twoCellAnchor>
  <xdr:twoCellAnchor>
    <xdr:from>
      <xdr:col>3</xdr:col>
      <xdr:colOff>247650</xdr:colOff>
      <xdr:row>13</xdr:row>
      <xdr:rowOff>142875</xdr:rowOff>
    </xdr:from>
    <xdr:to>
      <xdr:col>3</xdr:col>
      <xdr:colOff>400050</xdr:colOff>
      <xdr:row>16</xdr:row>
      <xdr:rowOff>104775</xdr:rowOff>
    </xdr:to>
    <xdr:sp macro="" textlink="">
      <xdr:nvSpPr>
        <xdr:cNvPr id="6" name="Arrow: Down 5">
          <a:extLst>
            <a:ext uri="{FF2B5EF4-FFF2-40B4-BE49-F238E27FC236}">
              <a16:creationId xmlns:a16="http://schemas.microsoft.com/office/drawing/2014/main" id="{00000000-0008-0000-0100-000006000000}"/>
            </a:ext>
          </a:extLst>
        </xdr:cNvPr>
        <xdr:cNvSpPr/>
      </xdr:nvSpPr>
      <xdr:spPr>
        <a:xfrm>
          <a:off x="3470910" y="1194435"/>
          <a:ext cx="152400" cy="327660"/>
        </a:xfrm>
        <a:prstGeom prst="downArrow">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539288</xdr:colOff>
      <xdr:row>21</xdr:row>
      <xdr:rowOff>143048</xdr:rowOff>
    </xdr:from>
    <xdr:to>
      <xdr:col>4</xdr:col>
      <xdr:colOff>701424</xdr:colOff>
      <xdr:row>26</xdr:row>
      <xdr:rowOff>158288</xdr:rowOff>
    </xdr:to>
    <xdr:sp macro="" textlink="">
      <xdr:nvSpPr>
        <xdr:cNvPr id="7" name="Rounded Rectangle 11">
          <a:extLst>
            <a:ext uri="{FF2B5EF4-FFF2-40B4-BE49-F238E27FC236}">
              <a16:creationId xmlns:a16="http://schemas.microsoft.com/office/drawing/2014/main" id="{00000000-0008-0000-0100-000007000000}"/>
            </a:ext>
          </a:extLst>
        </xdr:cNvPr>
        <xdr:cNvSpPr/>
      </xdr:nvSpPr>
      <xdr:spPr>
        <a:xfrm>
          <a:off x="1006879" y="2905298"/>
          <a:ext cx="4067386" cy="924445"/>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a:solidFill>
                <a:schemeClr val="lt1"/>
              </a:solidFill>
              <a:effectLst/>
              <a:latin typeface="+mn-lt"/>
              <a:ea typeface="+mn-ea"/>
              <a:cs typeface="+mn-cs"/>
            </a:rPr>
            <a:t>Two main methods of payment:</a:t>
          </a:r>
          <a:endParaRPr lang="en-US" sz="1600">
            <a:effectLst/>
          </a:endParaRPr>
        </a:p>
        <a:p>
          <a:r>
            <a:rPr lang="fr-FR" sz="1100">
              <a:solidFill>
                <a:schemeClr val="lt1"/>
              </a:solidFill>
              <a:effectLst/>
              <a:latin typeface="+mn-lt"/>
              <a:ea typeface="+mn-ea"/>
              <a:cs typeface="+mn-cs"/>
            </a:rPr>
            <a:t>1. Shares offering</a:t>
          </a:r>
          <a:endParaRPr lang="en-US" sz="1600">
            <a:effectLst/>
          </a:endParaRPr>
        </a:p>
        <a:p>
          <a:r>
            <a:rPr lang="fr-FR" sz="1100">
              <a:solidFill>
                <a:schemeClr val="lt1"/>
              </a:solidFill>
              <a:effectLst/>
              <a:latin typeface="+mn-lt"/>
              <a:ea typeface="+mn-ea"/>
              <a:cs typeface="+mn-cs"/>
            </a:rPr>
            <a:t>2. Cash offering (usually</a:t>
          </a:r>
          <a:r>
            <a:rPr lang="fr-FR" sz="1100" baseline="0">
              <a:solidFill>
                <a:schemeClr val="lt1"/>
              </a:solidFill>
              <a:effectLst/>
              <a:latin typeface="+mn-lt"/>
              <a:ea typeface="+mn-ea"/>
              <a:cs typeface="+mn-cs"/>
            </a:rPr>
            <a:t> from </a:t>
          </a:r>
          <a:r>
            <a:rPr lang="fr-FR" sz="1100">
              <a:solidFill>
                <a:schemeClr val="lt1"/>
              </a:solidFill>
              <a:effectLst/>
              <a:latin typeface="+mn-lt"/>
              <a:ea typeface="+mn-ea"/>
              <a:cs typeface="+mn-cs"/>
            </a:rPr>
            <a:t>debt)</a:t>
          </a:r>
          <a:endParaRPr lang="en-US" sz="1600">
            <a:effectLst/>
          </a:endParaRPr>
        </a:p>
        <a:p>
          <a:r>
            <a:rPr lang="fr-FR" sz="1100">
              <a:solidFill>
                <a:schemeClr val="lt1"/>
              </a:solidFill>
              <a:effectLst/>
              <a:latin typeface="+mn-lt"/>
              <a:ea typeface="+mn-ea"/>
              <a:cs typeface="+mn-cs"/>
            </a:rPr>
            <a:t>It can be a combination of both</a:t>
          </a:r>
          <a:endParaRPr lang="en-US" sz="1600">
            <a:effectLst/>
          </a:endParaRPr>
        </a:p>
      </xdr:txBody>
    </xdr:sp>
    <xdr:clientData/>
  </xdr:twoCellAnchor>
  <xdr:twoCellAnchor>
    <xdr:from>
      <xdr:col>4</xdr:col>
      <xdr:colOff>150497</xdr:colOff>
      <xdr:row>11</xdr:row>
      <xdr:rowOff>47105</xdr:rowOff>
    </xdr:from>
    <xdr:to>
      <xdr:col>7</xdr:col>
      <xdr:colOff>228600</xdr:colOff>
      <xdr:row>15</xdr:row>
      <xdr:rowOff>155863</xdr:rowOff>
    </xdr:to>
    <xdr:sp macro="" textlink="">
      <xdr:nvSpPr>
        <xdr:cNvPr id="8" name="Rounded Rectangle 11">
          <a:extLst>
            <a:ext uri="{FF2B5EF4-FFF2-40B4-BE49-F238E27FC236}">
              <a16:creationId xmlns:a16="http://schemas.microsoft.com/office/drawing/2014/main" id="{00000000-0008-0000-0100-000008000000}"/>
            </a:ext>
          </a:extLst>
        </xdr:cNvPr>
        <xdr:cNvSpPr/>
      </xdr:nvSpPr>
      <xdr:spPr>
        <a:xfrm>
          <a:off x="4620897" y="1181638"/>
          <a:ext cx="3126103" cy="870758"/>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a:solidFill>
                <a:schemeClr val="lt1"/>
              </a:solidFill>
              <a:effectLst/>
              <a:latin typeface="+mn-lt"/>
              <a:ea typeface="+mn-ea"/>
              <a:cs typeface="+mn-cs"/>
            </a:rPr>
            <a:t>This price is the result of a negociation between both parties, usually a function of several factors including the result of the valuation</a:t>
          </a:r>
          <a:endParaRPr lang="en-US">
            <a:effectLst/>
          </a:endParaRPr>
        </a:p>
      </xdr:txBody>
    </xdr:sp>
    <xdr:clientData/>
  </xdr:twoCellAnchor>
  <xdr:twoCellAnchor>
    <xdr:from>
      <xdr:col>8</xdr:col>
      <xdr:colOff>143934</xdr:colOff>
      <xdr:row>1</xdr:row>
      <xdr:rowOff>88763</xdr:rowOff>
    </xdr:from>
    <xdr:to>
      <xdr:col>16</xdr:col>
      <xdr:colOff>254001</xdr:colOff>
      <xdr:row>27</xdr:row>
      <xdr:rowOff>169332</xdr:rowOff>
    </xdr:to>
    <xdr:sp macro="" textlink="">
      <xdr:nvSpPr>
        <xdr:cNvPr id="9" name="Rounded Rectangle 11">
          <a:extLst>
            <a:ext uri="{FF2B5EF4-FFF2-40B4-BE49-F238E27FC236}">
              <a16:creationId xmlns:a16="http://schemas.microsoft.com/office/drawing/2014/main" id="{00000000-0008-0000-0100-000009000000}"/>
            </a:ext>
          </a:extLst>
        </xdr:cNvPr>
        <xdr:cNvSpPr/>
      </xdr:nvSpPr>
      <xdr:spPr>
        <a:xfrm>
          <a:off x="8331201" y="275030"/>
          <a:ext cx="5461000" cy="4026035"/>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b="1" u="sng">
              <a:solidFill>
                <a:schemeClr val="lt1"/>
              </a:solidFill>
              <a:effectLst/>
              <a:latin typeface="+mn-lt"/>
              <a:ea typeface="+mn-ea"/>
              <a:cs typeface="+mn-cs"/>
            </a:rPr>
            <a:t>WORK TO DO</a:t>
          </a:r>
        </a:p>
        <a:p>
          <a:endParaRPr lang="fr-FR" sz="1100" b="1" u="sng">
            <a:solidFill>
              <a:schemeClr val="lt1"/>
            </a:solidFill>
            <a:effectLst/>
            <a:latin typeface="+mn-lt"/>
            <a:ea typeface="+mn-ea"/>
            <a:cs typeface="+mn-cs"/>
          </a:endParaRPr>
        </a:p>
        <a:p>
          <a:r>
            <a:rPr lang="fr-FR" sz="1100" b="1">
              <a:solidFill>
                <a:schemeClr val="lt1"/>
              </a:solidFill>
              <a:effectLst/>
              <a:latin typeface="+mn-lt"/>
              <a:ea typeface="+mn-ea"/>
              <a:cs typeface="+mn-cs"/>
            </a:rPr>
            <a:t>Decide upon:</a:t>
          </a:r>
        </a:p>
        <a:p>
          <a:pPr marL="0" marR="0" lvl="0" indent="0" defTabSz="914400" eaLnBrk="1" fontAlgn="auto" latinLnBrk="0" hangingPunct="1">
            <a:lnSpc>
              <a:spcPct val="100000"/>
            </a:lnSpc>
            <a:spcBef>
              <a:spcPts val="0"/>
            </a:spcBef>
            <a:spcAft>
              <a:spcPts val="0"/>
            </a:spcAft>
            <a:buClrTx/>
            <a:buSzTx/>
            <a:buFontTx/>
            <a:buNone/>
            <a:tabLst/>
            <a:defRPr/>
          </a:pPr>
          <a:r>
            <a:rPr lang="fr-FR" sz="1100">
              <a:solidFill>
                <a:schemeClr val="lt1"/>
              </a:solidFill>
              <a:effectLst/>
              <a:latin typeface="+mn-lt"/>
              <a:ea typeface="+mn-ea"/>
              <a:cs typeface="+mn-cs"/>
            </a:rPr>
            <a:t>- Which price should be offered to purchase the target?</a:t>
          </a:r>
          <a:endParaRPr lang="fr-FR">
            <a:effectLst/>
          </a:endParaRPr>
        </a:p>
        <a:p>
          <a:r>
            <a:rPr lang="fr-FR" sz="1100">
              <a:solidFill>
                <a:schemeClr val="lt1"/>
              </a:solidFill>
              <a:effectLst/>
              <a:latin typeface="+mn-lt"/>
              <a:ea typeface="+mn-ea"/>
              <a:cs typeface="+mn-cs"/>
            </a:rPr>
            <a:t>- Financing of the deal: which is the optimum percentage of debt and equity?</a:t>
          </a:r>
        </a:p>
        <a:p>
          <a:endParaRPr lang="fr-FR" sz="1100">
            <a:solidFill>
              <a:schemeClr val="lt1"/>
            </a:solidFill>
            <a:effectLst/>
            <a:latin typeface="+mn-lt"/>
            <a:ea typeface="+mn-ea"/>
            <a:cs typeface="+mn-cs"/>
          </a:endParaRPr>
        </a:p>
        <a:p>
          <a:r>
            <a:rPr lang="fr-FR" sz="1100" b="1">
              <a:solidFill>
                <a:schemeClr val="lt1"/>
              </a:solidFill>
              <a:effectLst/>
              <a:latin typeface="+mn-lt"/>
              <a:ea typeface="+mn-ea"/>
              <a:cs typeface="+mn-cs"/>
            </a:rPr>
            <a:t>Build a summary cockpit</a:t>
          </a:r>
          <a:r>
            <a:rPr lang="fr-FR" sz="1100" b="1" baseline="0">
              <a:solidFill>
                <a:schemeClr val="lt1"/>
              </a:solidFill>
              <a:effectLst/>
              <a:latin typeface="+mn-lt"/>
              <a:ea typeface="+mn-ea"/>
              <a:cs typeface="+mn-cs"/>
            </a:rPr>
            <a:t> for QINGDAO to be able to make its decision </a:t>
          </a:r>
          <a:r>
            <a:rPr lang="fr-FR" sz="1100" b="0" baseline="0">
              <a:solidFill>
                <a:schemeClr val="lt1"/>
              </a:solidFill>
              <a:effectLst/>
              <a:latin typeface="+mn-lt"/>
              <a:ea typeface="+mn-ea"/>
              <a:cs typeface="+mn-cs"/>
            </a:rPr>
            <a:t>and i</a:t>
          </a:r>
          <a:r>
            <a:rPr lang="fr-FR" sz="1100" baseline="0">
              <a:solidFill>
                <a:schemeClr val="lt1"/>
              </a:solidFill>
              <a:effectLst/>
              <a:latin typeface="+mn-lt"/>
              <a:ea typeface="+mn-ea"/>
              <a:cs typeface="+mn-cs"/>
            </a:rPr>
            <a:t>nclude:</a:t>
          </a:r>
        </a:p>
        <a:p>
          <a:r>
            <a:rPr lang="en-GB"/>
            <a:t>- Go / no go with the acquisition project (and why)</a:t>
          </a:r>
        </a:p>
        <a:p>
          <a:r>
            <a:rPr lang="en-GB" sz="1100">
              <a:solidFill>
                <a:schemeClr val="lt1"/>
              </a:solidFill>
              <a:effectLst/>
              <a:latin typeface="+mn-lt"/>
              <a:ea typeface="+mn-ea"/>
              <a:cs typeface="+mn-cs"/>
            </a:rPr>
            <a:t>- Valuation Summary: </a:t>
          </a:r>
          <a:r>
            <a:rPr lang="fr-FR" sz="1100" baseline="0">
              <a:solidFill>
                <a:schemeClr val="lt1"/>
              </a:solidFill>
              <a:effectLst/>
              <a:latin typeface="+mn-lt"/>
              <a:ea typeface="+mn-ea"/>
              <a:cs typeface="+mn-cs"/>
            </a:rPr>
            <a:t>a summary of the valuation output with several methods</a:t>
          </a:r>
          <a:r>
            <a:rPr lang="en-GB" sz="1100">
              <a:solidFill>
                <a:schemeClr val="lt1"/>
              </a:solidFill>
              <a:effectLst/>
              <a:latin typeface="+mn-lt"/>
              <a:ea typeface="+mn-ea"/>
              <a:cs typeface="+mn-cs"/>
            </a:rPr>
            <a:t/>
          </a:r>
          <a:br>
            <a:rPr lang="en-GB" sz="1100">
              <a:solidFill>
                <a:schemeClr val="lt1"/>
              </a:solidFill>
              <a:effectLst/>
              <a:latin typeface="+mn-lt"/>
              <a:ea typeface="+mn-ea"/>
              <a:cs typeface="+mn-cs"/>
            </a:rPr>
          </a:br>
          <a:r>
            <a:rPr lang="en-GB"/>
            <a:t>- Final price offered by Qingdao for the target</a:t>
          </a:r>
        </a:p>
        <a:p>
          <a:r>
            <a:rPr lang="en-GB"/>
            <a:t>- Financing structure: %debt and %equity. Assess the maximum debt that you think QINGDAO can raise. Justify using D/E, Interest coverage, Net Debt/EBITDA and DSCR</a:t>
          </a:r>
          <a:br>
            <a:rPr lang="en-GB"/>
          </a:br>
          <a:r>
            <a:rPr lang="en-GB"/>
            <a:t>- Assess the intrinsic value's sensitivity (data table ) to WACC &amp; g. What other sensitivities would you calculate?</a:t>
          </a:r>
          <a:r>
            <a:rPr lang="fr-FR" sz="1100" baseline="0">
              <a:solidFill>
                <a:schemeClr val="lt1"/>
              </a:solidFill>
              <a:effectLst/>
              <a:latin typeface="+mn-lt"/>
              <a:ea typeface="+mn-ea"/>
              <a:cs typeface="+mn-cs"/>
            </a:rPr>
            <a:t>- </a:t>
          </a:r>
        </a:p>
        <a:p>
          <a:r>
            <a:rPr lang="fr-FR" sz="1100" baseline="0">
              <a:solidFill>
                <a:schemeClr val="lt1"/>
              </a:solidFill>
              <a:effectLst/>
              <a:latin typeface="+mn-lt"/>
              <a:ea typeface="+mn-ea"/>
              <a:cs typeface="+mn-cs"/>
            </a:rPr>
            <a:t>- Graphs</a:t>
          </a:r>
        </a:p>
      </xdr:txBody>
    </xdr:sp>
    <xdr:clientData/>
  </xdr:twoCellAnchor>
  <xdr:twoCellAnchor>
    <xdr:from>
      <xdr:col>5</xdr:col>
      <xdr:colOff>124691</xdr:colOff>
      <xdr:row>16</xdr:row>
      <xdr:rowOff>170584</xdr:rowOff>
    </xdr:from>
    <xdr:to>
      <xdr:col>7</xdr:col>
      <xdr:colOff>658091</xdr:colOff>
      <xdr:row>24</xdr:row>
      <xdr:rowOff>113434</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809106</xdr:colOff>
      <xdr:row>114</xdr:row>
      <xdr:rowOff>123130</xdr:rowOff>
    </xdr:from>
    <xdr:to>
      <xdr:col>12</xdr:col>
      <xdr:colOff>216476</xdr:colOff>
      <xdr:row>123</xdr:row>
      <xdr:rowOff>168332</xdr:rowOff>
    </xdr:to>
    <xdr:sp macro="" textlink="">
      <xdr:nvSpPr>
        <xdr:cNvPr id="12" name="Rounded Rectangle 11">
          <a:extLst>
            <a:ext uri="{FF2B5EF4-FFF2-40B4-BE49-F238E27FC236}">
              <a16:creationId xmlns:a16="http://schemas.microsoft.com/office/drawing/2014/main" id="{00000000-0008-0000-0100-00000C000000}"/>
            </a:ext>
          </a:extLst>
        </xdr:cNvPr>
        <xdr:cNvSpPr/>
      </xdr:nvSpPr>
      <xdr:spPr>
        <a:xfrm>
          <a:off x="6195061" y="18237948"/>
          <a:ext cx="4767347" cy="1681770"/>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solidFill>
                <a:schemeClr val="lt1"/>
              </a:solidFill>
              <a:effectLst/>
              <a:latin typeface="+mn-lt"/>
              <a:ea typeface="+mn-ea"/>
              <a:cs typeface="+mn-cs"/>
            </a:rPr>
            <a:t>These assumptions are made under the premise that the target company will be acquired and that the buyer will undertake its development &amp; expansion.</a:t>
          </a:r>
        </a:p>
        <a:p>
          <a:r>
            <a:rPr lang="en-US" sz="1100">
              <a:solidFill>
                <a:schemeClr val="lt1"/>
              </a:solidFill>
              <a:effectLst/>
              <a:latin typeface="+mn-lt"/>
              <a:ea typeface="+mn-ea"/>
              <a:cs typeface="+mn-cs"/>
            </a:rPr>
            <a:t>Valuation</a:t>
          </a:r>
          <a:r>
            <a:rPr lang="en-US" sz="1100" baseline="0">
              <a:solidFill>
                <a:schemeClr val="lt1"/>
              </a:solidFill>
              <a:effectLst/>
              <a:latin typeface="+mn-lt"/>
              <a:ea typeface="+mn-ea"/>
              <a:cs typeface="+mn-cs"/>
            </a:rPr>
            <a:t> of a company from a standalone point of view would be different.</a:t>
          </a:r>
        </a:p>
        <a:p>
          <a:r>
            <a:rPr lang="en-US" sz="1100" baseline="0">
              <a:solidFill>
                <a:schemeClr val="lt1"/>
              </a:solidFill>
              <a:effectLst/>
              <a:latin typeface="+mn-lt"/>
              <a:ea typeface="+mn-ea"/>
              <a:cs typeface="+mn-cs"/>
            </a:rPr>
            <a:t>3 first years, you have visibiity</a:t>
          </a:r>
        </a:p>
        <a:p>
          <a:r>
            <a:rPr lang="en-US" sz="1100">
              <a:effectLst/>
            </a:rPr>
            <a:t>In 4 or 5 years, you have a sector business plan</a:t>
          </a:r>
        </a:p>
        <a:p>
          <a:r>
            <a:rPr lang="en-US" sz="1100">
              <a:effectLst/>
            </a:rPr>
            <a:t>Beyond</a:t>
          </a:r>
          <a:r>
            <a:rPr lang="en-US" sz="1100" baseline="0">
              <a:effectLst/>
            </a:rPr>
            <a:t> 5 years, it is a macro economic growth rate</a:t>
          </a:r>
          <a:endParaRPr lang="en-US" sz="1100">
            <a:effectLst/>
          </a:endParaRPr>
        </a:p>
      </xdr:txBody>
    </xdr:sp>
    <xdr:clientData/>
  </xdr:twoCellAnchor>
  <xdr:twoCellAnchor>
    <xdr:from>
      <xdr:col>5</xdr:col>
      <xdr:colOff>233796</xdr:colOff>
      <xdr:row>157</xdr:row>
      <xdr:rowOff>56804</xdr:rowOff>
    </xdr:from>
    <xdr:to>
      <xdr:col>10</xdr:col>
      <xdr:colOff>456423</xdr:colOff>
      <xdr:row>161</xdr:row>
      <xdr:rowOff>126942</xdr:rowOff>
    </xdr:to>
    <xdr:sp macro="" textlink="">
      <xdr:nvSpPr>
        <xdr:cNvPr id="14" name="Rounded Rectangle 11">
          <a:extLst>
            <a:ext uri="{FF2B5EF4-FFF2-40B4-BE49-F238E27FC236}">
              <a16:creationId xmlns:a16="http://schemas.microsoft.com/office/drawing/2014/main" id="{00000000-0008-0000-0100-00000E000000}"/>
            </a:ext>
          </a:extLst>
        </xdr:cNvPr>
        <xdr:cNvSpPr/>
      </xdr:nvSpPr>
      <xdr:spPr>
        <a:xfrm>
          <a:off x="5619751" y="25817599"/>
          <a:ext cx="4249104" cy="797502"/>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effectLst/>
            </a:rPr>
            <a:t>QINGDAO is a public company and trades in a Stock market, even though the majority of the shares are in the hands of the family</a:t>
          </a:r>
          <a:endParaRPr lang="en-US" sz="1100" baseline="0">
            <a:effectLst/>
          </a:endParaRPr>
        </a:p>
      </xdr:txBody>
    </xdr:sp>
    <xdr:clientData/>
  </xdr:twoCellAnchor>
  <xdr:twoCellAnchor>
    <xdr:from>
      <xdr:col>1</xdr:col>
      <xdr:colOff>93052</xdr:colOff>
      <xdr:row>1</xdr:row>
      <xdr:rowOff>87922</xdr:rowOff>
    </xdr:from>
    <xdr:to>
      <xdr:col>6</xdr:col>
      <xdr:colOff>16267</xdr:colOff>
      <xdr:row>6</xdr:row>
      <xdr:rowOff>65942</xdr:rowOff>
    </xdr:to>
    <xdr:sp macro="" textlink="">
      <xdr:nvSpPr>
        <xdr:cNvPr id="15" name="Rounded Rectangle 11">
          <a:extLst>
            <a:ext uri="{FF2B5EF4-FFF2-40B4-BE49-F238E27FC236}">
              <a16:creationId xmlns:a16="http://schemas.microsoft.com/office/drawing/2014/main" id="{00000000-0008-0000-0100-00000F000000}"/>
            </a:ext>
          </a:extLst>
        </xdr:cNvPr>
        <xdr:cNvSpPr/>
      </xdr:nvSpPr>
      <xdr:spPr>
        <a:xfrm>
          <a:off x="320187" y="271095"/>
          <a:ext cx="6217042" cy="893885"/>
        </a:xfrm>
        <a:prstGeom prst="roundRect">
          <a:avLst/>
        </a:prstGeom>
        <a:solidFill>
          <a:schemeClr val="accent4">
            <a:lumMod val="40000"/>
            <a:lumOff val="6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b="1">
              <a:solidFill>
                <a:sysClr val="windowText" lastClr="000000"/>
              </a:solidFill>
              <a:effectLst/>
              <a:latin typeface="+mn-lt"/>
              <a:ea typeface="+mn-ea"/>
              <a:cs typeface="+mn-cs"/>
            </a:rPr>
            <a:t>Students must adopt the buyer role and make two main decisions:</a:t>
          </a:r>
        </a:p>
        <a:p>
          <a:r>
            <a:rPr lang="fr-FR" sz="1100">
              <a:solidFill>
                <a:sysClr val="windowText" lastClr="000000"/>
              </a:solidFill>
              <a:effectLst/>
              <a:latin typeface="+mn-lt"/>
              <a:ea typeface="+mn-ea"/>
              <a:cs typeface="+mn-cs"/>
            </a:rPr>
            <a:t>- price per share offered for the target in €</a:t>
          </a:r>
        </a:p>
        <a:p>
          <a:r>
            <a:rPr lang="fr-FR" sz="1100">
              <a:solidFill>
                <a:sysClr val="windowText" lastClr="000000"/>
              </a:solidFill>
              <a:effectLst/>
              <a:latin typeface="+mn-lt"/>
              <a:ea typeface="+mn-ea"/>
              <a:cs typeface="+mn-cs"/>
            </a:rPr>
            <a:t>- percentage of debt (out of the total price offered) they will borrow to purchase</a:t>
          </a:r>
          <a:r>
            <a:rPr lang="fr-FR" sz="1100" baseline="0">
              <a:solidFill>
                <a:sysClr val="windowText" lastClr="000000"/>
              </a:solidFill>
              <a:effectLst/>
              <a:latin typeface="+mn-lt"/>
              <a:ea typeface="+mn-ea"/>
              <a:cs typeface="+mn-cs"/>
            </a:rPr>
            <a:t> the target</a:t>
          </a:r>
        </a:p>
        <a:p>
          <a:r>
            <a:rPr lang="fr-FR" sz="1100" baseline="0">
              <a:solidFill>
                <a:sysClr val="windowText" lastClr="000000"/>
              </a:solidFill>
              <a:effectLst/>
              <a:latin typeface="+mn-lt"/>
              <a:ea typeface="+mn-ea"/>
              <a:cs typeface="+mn-cs"/>
            </a:rPr>
            <a:t>Both decisions must be justified.</a:t>
          </a:r>
          <a:endParaRPr lang="en-US">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619125</xdr:colOff>
      <xdr:row>0</xdr:row>
      <xdr:rowOff>0</xdr:rowOff>
    </xdr:from>
    <xdr:to>
      <xdr:col>16</xdr:col>
      <xdr:colOff>974657</xdr:colOff>
      <xdr:row>1</xdr:row>
      <xdr:rowOff>53976</xdr:rowOff>
    </xdr:to>
    <xdr:sp macro="" textlink="">
      <xdr:nvSpPr>
        <xdr:cNvPr id="2049" name="Check Box 1" descr="Synergies Included ?" hidden="1">
          <a:extLst>
            <a:ext uri="{63B3BB69-23CF-44E3-9099-C40C66FF867C}">
              <a14:compatExt xmlns:a14="http://schemas.microsoft.com/office/drawing/2010/main"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Synergies Included </a:t>
          </a:r>
        </a:p>
      </xdr:txBody>
    </xdr:sp>
    <xdr:clientData/>
  </xdr:twoCellAnchor>
  <xdr:twoCellAnchor>
    <xdr:from>
      <xdr:col>2</xdr:col>
      <xdr:colOff>133349</xdr:colOff>
      <xdr:row>101</xdr:row>
      <xdr:rowOff>65586</xdr:rowOff>
    </xdr:from>
    <xdr:to>
      <xdr:col>15</xdr:col>
      <xdr:colOff>295637</xdr:colOff>
      <xdr:row>115</xdr:row>
      <xdr:rowOff>47626</xdr:rowOff>
    </xdr:to>
    <xdr:sp macro="" textlink="">
      <xdr:nvSpPr>
        <xdr:cNvPr id="20" name="Rounded Rectangle 11">
          <a:extLst>
            <a:ext uri="{FF2B5EF4-FFF2-40B4-BE49-F238E27FC236}">
              <a16:creationId xmlns:a16="http://schemas.microsoft.com/office/drawing/2014/main" id="{00000000-0008-0000-0200-000014000000}"/>
            </a:ext>
          </a:extLst>
        </xdr:cNvPr>
        <xdr:cNvSpPr/>
      </xdr:nvSpPr>
      <xdr:spPr>
        <a:xfrm>
          <a:off x="457199" y="16115211"/>
          <a:ext cx="13754463" cy="2382340"/>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solidFill>
                <a:schemeClr val="lt1"/>
              </a:solidFill>
              <a:effectLst/>
              <a:latin typeface="+mn-lt"/>
              <a:ea typeface="+mn-ea"/>
              <a:cs typeface="+mn-cs"/>
            </a:rPr>
            <a:t>Synergies come from the additional sales and margin on sales &amp; economies of scale. Also take into account implementation costs</a:t>
          </a:r>
        </a:p>
        <a:p>
          <a:r>
            <a:rPr lang="en-US" sz="1100">
              <a:solidFill>
                <a:schemeClr val="lt1"/>
              </a:solidFill>
              <a:effectLst/>
              <a:latin typeface="+mn-lt"/>
              <a:ea typeface="+mn-ea"/>
              <a:cs typeface="+mn-cs"/>
            </a:rPr>
            <a:t>(1) Identification of the synergies: The first step of the synergies valuation through the DCF method includes the identification of the sources of synergies from the transaction. This step is crucial as the two sources of synergies will have significantly different impactson the free cash flows.The revenue synergies translate as additional sales and will have a direct impact on the top line of the DCF model. Thec ost synergies, as improvements of operating expenses, directly impact the EBIT of the buying company.</a:t>
          </a:r>
          <a:endParaRPr lang="en-US" sz="1600">
            <a:effectLst/>
          </a:endParaRPr>
        </a:p>
        <a:p>
          <a:r>
            <a:rPr lang="en-US" sz="1100">
              <a:solidFill>
                <a:schemeClr val="lt1"/>
              </a:solidFill>
              <a:effectLst/>
              <a:latin typeface="+mn-lt"/>
              <a:ea typeface="+mn-ea"/>
              <a:cs typeface="+mn-cs"/>
            </a:rPr>
            <a:t>(2) Phasing of the synergies: The second step involves to take into account the timing of implementation of the synergies. The merging companies need time to set up the post-merger integration as well as the required actions to implement the potential synergies identified. The DCF valuation requires the synergies phasing to be taken into account for sake of accuracy. In most cases, the synergies are fully phased (“recurring run-rate pre-tax synergies”) during the third year following the acquisition.</a:t>
          </a:r>
          <a:endParaRPr lang="en-US" sz="1600">
            <a:effectLst/>
          </a:endParaRPr>
        </a:p>
        <a:p>
          <a:r>
            <a:rPr lang="en-US" sz="1100">
              <a:solidFill>
                <a:schemeClr val="lt1"/>
              </a:solidFill>
              <a:effectLst/>
              <a:latin typeface="+mn-lt"/>
              <a:ea typeface="+mn-ea"/>
              <a:cs typeface="+mn-cs"/>
            </a:rPr>
            <a:t>(3) Implementation of the synergies: The third steps involves to take into account the cost of implementation of the synergies. Also called restructuring costs, these negative cash flows can be identified as capital expenditures in the Free Cash Flowformula for the DCFvaluation. Again, the merging companies need some investments in order to extract the potential synergies identified, and the DCF valuation has to consider the costs of implementation for the synergies to materialize.</a:t>
          </a:r>
          <a:endParaRPr lang="en-US" sz="1600">
            <a:effectLst/>
          </a:endParaRPr>
        </a:p>
        <a:p>
          <a:r>
            <a:rPr lang="en-US" sz="1100">
              <a:solidFill>
                <a:schemeClr val="lt1"/>
              </a:solidFill>
              <a:effectLst/>
              <a:latin typeface="+mn-lt"/>
              <a:ea typeface="+mn-ea"/>
              <a:cs typeface="+mn-cs"/>
            </a:rPr>
            <a:t>(4) DCF Valuation:The next steps ofthe synergies valuation remain consistent with the traditional DCF approach, for both the horizon of the business plan and the perpetual value.</a:t>
          </a:r>
          <a:r>
            <a:rPr lang="en-US" sz="1100" baseline="0">
              <a:solidFill>
                <a:schemeClr val="lt1"/>
              </a:solidFill>
              <a:effectLst/>
              <a:latin typeface="+mn-lt"/>
              <a:ea typeface="+mn-ea"/>
              <a:cs typeface="+mn-cs"/>
            </a:rPr>
            <a:t> Some models do not include a perpetual valuie as it is considered that synergies phase out with the passing of time.</a:t>
          </a:r>
          <a:endParaRPr lang="en-US" sz="1600">
            <a:effectLst/>
          </a:endParaRPr>
        </a:p>
      </xdr:txBody>
    </xdr:sp>
    <xdr:clientData/>
  </xdr:twoCellAnchor>
  <xdr:twoCellAnchor>
    <xdr:from>
      <xdr:col>9</xdr:col>
      <xdr:colOff>211455</xdr:colOff>
      <xdr:row>136</xdr:row>
      <xdr:rowOff>123825</xdr:rowOff>
    </xdr:from>
    <xdr:to>
      <xdr:col>15</xdr:col>
      <xdr:colOff>247651</xdr:colOff>
      <xdr:row>144</xdr:row>
      <xdr:rowOff>137160</xdr:rowOff>
    </xdr:to>
    <xdr:sp macro="" textlink="">
      <xdr:nvSpPr>
        <xdr:cNvPr id="21" name="Rounded Rectangle 11">
          <a:extLst>
            <a:ext uri="{FF2B5EF4-FFF2-40B4-BE49-F238E27FC236}">
              <a16:creationId xmlns:a16="http://schemas.microsoft.com/office/drawing/2014/main" id="{00000000-0008-0000-0200-000015000000}"/>
            </a:ext>
          </a:extLst>
        </xdr:cNvPr>
        <xdr:cNvSpPr/>
      </xdr:nvSpPr>
      <xdr:spPr>
        <a:xfrm>
          <a:off x="8269605" y="22174200"/>
          <a:ext cx="4265296" cy="1308735"/>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effectLst/>
            </a:rPr>
            <a:t>Decisions about the final</a:t>
          </a:r>
          <a:r>
            <a:rPr lang="en-US" sz="1100" baseline="0">
              <a:effectLst/>
            </a:rPr>
            <a:t> purchase price and the financing are located in the Cockpit</a:t>
          </a:r>
        </a:p>
        <a:p>
          <a:r>
            <a:rPr lang="en-US" sz="1100">
              <a:effectLst/>
            </a:rPr>
            <a:t>The buyer has to issue shares for</a:t>
          </a:r>
          <a:r>
            <a:rPr lang="en-US" sz="1100" baseline="0">
              <a:effectLst/>
            </a:rPr>
            <a:t> the equity financing portion of the deal. These shares are issued at intrinsic price calculated with the growth formula</a:t>
          </a:r>
        </a:p>
      </xdr:txBody>
    </xdr:sp>
    <xdr:clientData/>
  </xdr:twoCellAnchor>
  <xdr:twoCellAnchor>
    <xdr:from>
      <xdr:col>5</xdr:col>
      <xdr:colOff>76200</xdr:colOff>
      <xdr:row>142</xdr:row>
      <xdr:rowOff>21772</xdr:rowOff>
    </xdr:from>
    <xdr:to>
      <xdr:col>5</xdr:col>
      <xdr:colOff>657225</xdr:colOff>
      <xdr:row>142</xdr:row>
      <xdr:rowOff>142875</xdr:rowOff>
    </xdr:to>
    <xdr:sp macro="" textlink="">
      <xdr:nvSpPr>
        <xdr:cNvPr id="16" name="Arrow: Right 15">
          <a:extLst>
            <a:ext uri="{FF2B5EF4-FFF2-40B4-BE49-F238E27FC236}">
              <a16:creationId xmlns:a16="http://schemas.microsoft.com/office/drawing/2014/main" id="{00000000-0008-0000-0200-000010000000}"/>
            </a:ext>
          </a:extLst>
        </xdr:cNvPr>
        <xdr:cNvSpPr/>
      </xdr:nvSpPr>
      <xdr:spPr>
        <a:xfrm>
          <a:off x="5314950" y="23043697"/>
          <a:ext cx="581025" cy="12110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79491</xdr:colOff>
      <xdr:row>224</xdr:row>
      <xdr:rowOff>106701</xdr:rowOff>
    </xdr:from>
    <xdr:to>
      <xdr:col>15</xdr:col>
      <xdr:colOff>163810</xdr:colOff>
      <xdr:row>227</xdr:row>
      <xdr:rowOff>160983</xdr:rowOff>
    </xdr:to>
    <xdr:sp macro="" textlink="">
      <xdr:nvSpPr>
        <xdr:cNvPr id="27" name="Rounded Rectangle 11">
          <a:extLst>
            <a:ext uri="{FF2B5EF4-FFF2-40B4-BE49-F238E27FC236}">
              <a16:creationId xmlns:a16="http://schemas.microsoft.com/office/drawing/2014/main" id="{00000000-0008-0000-0200-00001B000000}"/>
            </a:ext>
          </a:extLst>
        </xdr:cNvPr>
        <xdr:cNvSpPr/>
      </xdr:nvSpPr>
      <xdr:spPr>
        <a:xfrm>
          <a:off x="197255" y="3431792"/>
          <a:ext cx="13911155" cy="553046"/>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a:solidFill>
                <a:schemeClr val="lt1"/>
              </a:solidFill>
              <a:effectLst/>
              <a:latin typeface="+mn-lt"/>
              <a:ea typeface="+mn-ea"/>
              <a:cs typeface="+mn-cs"/>
            </a:rPr>
            <a:t>If QINGDAO</a:t>
          </a:r>
          <a:r>
            <a:rPr lang="fr-FR" sz="1100" baseline="0">
              <a:solidFill>
                <a:schemeClr val="lt1"/>
              </a:solidFill>
              <a:effectLst/>
              <a:latin typeface="+mn-lt"/>
              <a:ea typeface="+mn-ea"/>
              <a:cs typeface="+mn-cs"/>
            </a:rPr>
            <a:t> had a maximum debt capacity stated as a target DSCR (Debt Service Coverage ratio), what would be the impact on the financing structure of the deal in terms of Shareholder's rate of return?</a:t>
          </a:r>
          <a:endParaRPr lang="en-US" sz="1600">
            <a:effectLst/>
          </a:endParaRPr>
        </a:p>
      </xdr:txBody>
    </xdr:sp>
    <xdr:clientData/>
  </xdr:twoCellAnchor>
  <xdr:twoCellAnchor>
    <xdr:from>
      <xdr:col>4</xdr:col>
      <xdr:colOff>962025</xdr:colOff>
      <xdr:row>233</xdr:row>
      <xdr:rowOff>19050</xdr:rowOff>
    </xdr:from>
    <xdr:to>
      <xdr:col>5</xdr:col>
      <xdr:colOff>561975</xdr:colOff>
      <xdr:row>236</xdr:row>
      <xdr:rowOff>133350</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a:off x="6534150" y="38233350"/>
          <a:ext cx="704850" cy="628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15</xdr:col>
          <xdr:colOff>866775</xdr:colOff>
          <xdr:row>74</xdr:row>
          <xdr:rowOff>9525</xdr:rowOff>
        </xdr:from>
        <xdr:to>
          <xdr:col>18</xdr:col>
          <xdr:colOff>28575</xdr:colOff>
          <xdr:row>77</xdr:row>
          <xdr:rowOff>28575</xdr:rowOff>
        </xdr:to>
        <xdr:sp macro="" textlink="">
          <xdr:nvSpPr>
            <xdr:cNvPr id="2102" name="List Box 54" hidden="1">
              <a:extLst>
                <a:ext uri="{63B3BB69-23CF-44E3-9099-C40C66FF867C}">
                  <a14:compatExt spid="_x0000_s2102"/>
                </a:ext>
                <a:ext uri="{FF2B5EF4-FFF2-40B4-BE49-F238E27FC236}">
                  <a16:creationId xmlns:a16="http://schemas.microsoft.com/office/drawing/2014/main" id="{00000000-0008-0000-0200-00003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1911291</xdr:colOff>
      <xdr:row>164</xdr:row>
      <xdr:rowOff>150513</xdr:rowOff>
    </xdr:from>
    <xdr:to>
      <xdr:col>3</xdr:col>
      <xdr:colOff>943263</xdr:colOff>
      <xdr:row>173</xdr:row>
      <xdr:rowOff>6562</xdr:rowOff>
    </xdr:to>
    <xdr:sp macro="" textlink="">
      <xdr:nvSpPr>
        <xdr:cNvPr id="30" name="Rounded Rectangle 11">
          <a:extLst>
            <a:ext uri="{FF2B5EF4-FFF2-40B4-BE49-F238E27FC236}">
              <a16:creationId xmlns:a16="http://schemas.microsoft.com/office/drawing/2014/main" id="{00000000-0008-0000-0200-00001E000000}"/>
            </a:ext>
          </a:extLst>
        </xdr:cNvPr>
        <xdr:cNvSpPr/>
      </xdr:nvSpPr>
      <xdr:spPr>
        <a:xfrm>
          <a:off x="2231677" y="27166877"/>
          <a:ext cx="2105950" cy="903799"/>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effectLst/>
            </a:rPr>
            <a:t>Why would existing  debt's</a:t>
          </a:r>
          <a:r>
            <a:rPr lang="en-US" sz="1100" baseline="0">
              <a:effectLst/>
            </a:rPr>
            <a:t> cost</a:t>
          </a:r>
          <a:r>
            <a:rPr lang="en-US" sz="1100">
              <a:effectLst/>
            </a:rPr>
            <a:t> be different from new debt's cost of debt?</a:t>
          </a:r>
        </a:p>
      </xdr:txBody>
    </xdr:sp>
    <xdr:clientData/>
  </xdr:twoCellAnchor>
  <xdr:twoCellAnchor>
    <xdr:from>
      <xdr:col>2</xdr:col>
      <xdr:colOff>2057399</xdr:colOff>
      <xdr:row>145</xdr:row>
      <xdr:rowOff>9525</xdr:rowOff>
    </xdr:from>
    <xdr:to>
      <xdr:col>3</xdr:col>
      <xdr:colOff>955963</xdr:colOff>
      <xdr:row>147</xdr:row>
      <xdr:rowOff>31327</xdr:rowOff>
    </xdr:to>
    <xdr:sp macro="" textlink="">
      <xdr:nvSpPr>
        <xdr:cNvPr id="35" name="Rounded Rectangle 11">
          <a:extLst>
            <a:ext uri="{FF2B5EF4-FFF2-40B4-BE49-F238E27FC236}">
              <a16:creationId xmlns:a16="http://schemas.microsoft.com/office/drawing/2014/main" id="{00000000-0008-0000-0200-000023000000}"/>
            </a:ext>
          </a:extLst>
        </xdr:cNvPr>
        <xdr:cNvSpPr/>
      </xdr:nvSpPr>
      <xdr:spPr>
        <a:xfrm>
          <a:off x="2382981" y="3106016"/>
          <a:ext cx="1586346" cy="347384"/>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effectLst/>
            </a:rPr>
            <a:t>Constant amortization</a:t>
          </a:r>
        </a:p>
      </xdr:txBody>
    </xdr:sp>
    <xdr:clientData/>
  </xdr:twoCellAnchor>
  <xdr:twoCellAnchor>
    <xdr:from>
      <xdr:col>6</xdr:col>
      <xdr:colOff>341313</xdr:colOff>
      <xdr:row>46</xdr:row>
      <xdr:rowOff>52917</xdr:rowOff>
    </xdr:from>
    <xdr:to>
      <xdr:col>9</xdr:col>
      <xdr:colOff>581342</xdr:colOff>
      <xdr:row>52</xdr:row>
      <xdr:rowOff>49530</xdr:rowOff>
    </xdr:to>
    <xdr:sp macro="" textlink="">
      <xdr:nvSpPr>
        <xdr:cNvPr id="22" name="Rounded Rectangle 11">
          <a:extLst>
            <a:ext uri="{FF2B5EF4-FFF2-40B4-BE49-F238E27FC236}">
              <a16:creationId xmlns:a16="http://schemas.microsoft.com/office/drawing/2014/main" id="{00000000-0008-0000-0200-000016000000}"/>
            </a:ext>
          </a:extLst>
        </xdr:cNvPr>
        <xdr:cNvSpPr/>
      </xdr:nvSpPr>
      <xdr:spPr>
        <a:xfrm>
          <a:off x="6797146" y="6635750"/>
          <a:ext cx="2716529" cy="1054947"/>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effectLst/>
            </a:rPr>
            <a:t>Beware: the stock price is from a recent sale of the target's shares; the target does not trade on a stock exchange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485776</xdr:colOff>
      <xdr:row>15</xdr:row>
      <xdr:rowOff>163830</xdr:rowOff>
    </xdr:from>
    <xdr:to>
      <xdr:col>12</xdr:col>
      <xdr:colOff>64770</xdr:colOff>
      <xdr:row>25</xdr:row>
      <xdr:rowOff>114300</xdr:rowOff>
    </xdr:to>
    <xdr:sp macro="" textlink="">
      <xdr:nvSpPr>
        <xdr:cNvPr id="6" name="Rounded Rectangle 11">
          <a:extLst>
            <a:ext uri="{FF2B5EF4-FFF2-40B4-BE49-F238E27FC236}">
              <a16:creationId xmlns:a16="http://schemas.microsoft.com/office/drawing/2014/main" id="{00000000-0008-0000-0300-000006000000}"/>
            </a:ext>
          </a:extLst>
        </xdr:cNvPr>
        <xdr:cNvSpPr/>
      </xdr:nvSpPr>
      <xdr:spPr>
        <a:xfrm>
          <a:off x="11047096" y="2807970"/>
          <a:ext cx="2200274" cy="1634490"/>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baseline="0">
              <a:solidFill>
                <a:schemeClr val="lt1"/>
              </a:solidFill>
              <a:effectLst/>
              <a:latin typeface="+mn-lt"/>
              <a:ea typeface="+mn-ea"/>
              <a:cs typeface="+mn-cs"/>
            </a:rPr>
            <a:t>Which recent transaction should we use?</a:t>
          </a:r>
        </a:p>
        <a:p>
          <a:r>
            <a:rPr lang="fr-FR" sz="1100" baseline="0">
              <a:solidFill>
                <a:schemeClr val="lt1"/>
              </a:solidFill>
              <a:effectLst/>
              <a:latin typeface="+mn-lt"/>
              <a:ea typeface="+mn-ea"/>
              <a:cs typeface="+mn-cs"/>
            </a:rPr>
            <a:t>Which multiple should we use?</a:t>
          </a:r>
        </a:p>
        <a:p>
          <a:r>
            <a:rPr lang="fr-FR" sz="1100" baseline="0">
              <a:solidFill>
                <a:schemeClr val="lt1"/>
              </a:solidFill>
              <a:effectLst/>
              <a:latin typeface="+mn-lt"/>
              <a:ea typeface="+mn-ea"/>
              <a:cs typeface="+mn-cs"/>
            </a:rPr>
            <a:t>What other information should we have?</a:t>
          </a:r>
          <a:endParaRPr lang="en-US">
            <a:effectLst/>
          </a:endParaRPr>
        </a:p>
      </xdr:txBody>
    </xdr:sp>
    <xdr:clientData/>
  </xdr:twoCellAnchor>
  <xdr:twoCellAnchor>
    <xdr:from>
      <xdr:col>0</xdr:col>
      <xdr:colOff>238124</xdr:colOff>
      <xdr:row>49</xdr:row>
      <xdr:rowOff>85725</xdr:rowOff>
    </xdr:from>
    <xdr:to>
      <xdr:col>6</xdr:col>
      <xdr:colOff>274319</xdr:colOff>
      <xdr:row>52</xdr:row>
      <xdr:rowOff>85724</xdr:rowOff>
    </xdr:to>
    <xdr:sp macro="" textlink="">
      <xdr:nvSpPr>
        <xdr:cNvPr id="7" name="Rounded Rectangle 11">
          <a:extLst>
            <a:ext uri="{FF2B5EF4-FFF2-40B4-BE49-F238E27FC236}">
              <a16:creationId xmlns:a16="http://schemas.microsoft.com/office/drawing/2014/main" id="{00000000-0008-0000-0300-000007000000}"/>
            </a:ext>
          </a:extLst>
        </xdr:cNvPr>
        <xdr:cNvSpPr/>
      </xdr:nvSpPr>
      <xdr:spPr>
        <a:xfrm>
          <a:off x="238124" y="6928485"/>
          <a:ext cx="7305675" cy="525779"/>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baseline="0">
              <a:solidFill>
                <a:schemeClr val="lt1"/>
              </a:solidFill>
              <a:effectLst/>
              <a:latin typeface="+mn-lt"/>
              <a:ea typeface="+mn-ea"/>
              <a:cs typeface="+mn-cs"/>
            </a:rPr>
            <a:t>Change companie's or multiples weight if comparison with one company or multiple is more significant than with the others</a:t>
          </a:r>
          <a:endParaRPr lang="en-US">
            <a:effectLst/>
          </a:endParaRPr>
        </a:p>
      </xdr:txBody>
    </xdr:sp>
    <xdr:clientData/>
  </xdr:twoCellAnchor>
  <xdr:twoCellAnchor>
    <xdr:from>
      <xdr:col>2</xdr:col>
      <xdr:colOff>1381124</xdr:colOff>
      <xdr:row>40</xdr:row>
      <xdr:rowOff>85725</xdr:rowOff>
    </xdr:from>
    <xdr:to>
      <xdr:col>2</xdr:col>
      <xdr:colOff>1523999</xdr:colOff>
      <xdr:row>49</xdr:row>
      <xdr:rowOff>85725</xdr:rowOff>
    </xdr:to>
    <xdr:sp macro="" textlink="">
      <xdr:nvSpPr>
        <xdr:cNvPr id="8" name="Arrow: Left 7">
          <a:extLst>
            <a:ext uri="{FF2B5EF4-FFF2-40B4-BE49-F238E27FC236}">
              <a16:creationId xmlns:a16="http://schemas.microsoft.com/office/drawing/2014/main" id="{00000000-0008-0000-0300-000008000000}"/>
            </a:ext>
          </a:extLst>
        </xdr:cNvPr>
        <xdr:cNvSpPr/>
      </xdr:nvSpPr>
      <xdr:spPr>
        <a:xfrm rot="5400000">
          <a:off x="1419224" y="5895975"/>
          <a:ext cx="1381125" cy="142875"/>
        </a:xfrm>
        <a:prstGeom prst="leftArrow">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752474</xdr:colOff>
      <xdr:row>52</xdr:row>
      <xdr:rowOff>95250</xdr:rowOff>
    </xdr:from>
    <xdr:to>
      <xdr:col>5</xdr:col>
      <xdr:colOff>895349</xdr:colOff>
      <xdr:row>60</xdr:row>
      <xdr:rowOff>95250</xdr:rowOff>
    </xdr:to>
    <xdr:sp macro="" textlink="">
      <xdr:nvSpPr>
        <xdr:cNvPr id="9" name="Arrow: Left 8">
          <a:extLst>
            <a:ext uri="{FF2B5EF4-FFF2-40B4-BE49-F238E27FC236}">
              <a16:creationId xmlns:a16="http://schemas.microsoft.com/office/drawing/2014/main" id="{00000000-0008-0000-0300-000009000000}"/>
            </a:ext>
          </a:extLst>
        </xdr:cNvPr>
        <xdr:cNvSpPr/>
      </xdr:nvSpPr>
      <xdr:spPr>
        <a:xfrm rot="16200000">
          <a:off x="5714999" y="7800975"/>
          <a:ext cx="1381125" cy="142875"/>
        </a:xfrm>
        <a:prstGeom prst="leftArrow">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0</xdr:colOff>
      <xdr:row>80</xdr:row>
      <xdr:rowOff>91440</xdr:rowOff>
    </xdr:from>
    <xdr:to>
      <xdr:col>6</xdr:col>
      <xdr:colOff>325755</xdr:colOff>
      <xdr:row>83</xdr:row>
      <xdr:rowOff>91439</xdr:rowOff>
    </xdr:to>
    <xdr:sp macro="" textlink="">
      <xdr:nvSpPr>
        <xdr:cNvPr id="10" name="Rounded Rectangle 11">
          <a:extLst>
            <a:ext uri="{FF2B5EF4-FFF2-40B4-BE49-F238E27FC236}">
              <a16:creationId xmlns:a16="http://schemas.microsoft.com/office/drawing/2014/main" id="{00000000-0008-0000-0300-00000A000000}"/>
            </a:ext>
          </a:extLst>
        </xdr:cNvPr>
        <xdr:cNvSpPr/>
      </xdr:nvSpPr>
      <xdr:spPr>
        <a:xfrm>
          <a:off x="289560" y="11460480"/>
          <a:ext cx="7877175" cy="525779"/>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a:effectLst/>
            </a:rPr>
            <a:t>Because</a:t>
          </a:r>
          <a:r>
            <a:rPr lang="en-US" baseline="0">
              <a:effectLst/>
            </a:rPr>
            <a:t> comparable companies were the object of a takeover recently, the takeover premium is embedded in the pricing</a:t>
          </a:r>
          <a:endParaRPr lang="en-US">
            <a:effectLst/>
          </a:endParaRPr>
        </a:p>
      </xdr:txBody>
    </xdr:sp>
    <xdr:clientData/>
  </xdr:twoCellAnchor>
  <xdr:twoCellAnchor>
    <xdr:from>
      <xdr:col>8</xdr:col>
      <xdr:colOff>502921</xdr:colOff>
      <xdr:row>36</xdr:row>
      <xdr:rowOff>106680</xdr:rowOff>
    </xdr:from>
    <xdr:to>
      <xdr:col>11</xdr:col>
      <xdr:colOff>76201</xdr:colOff>
      <xdr:row>47</xdr:row>
      <xdr:rowOff>129540</xdr:rowOff>
    </xdr:to>
    <xdr:sp macro="" textlink="">
      <xdr:nvSpPr>
        <xdr:cNvPr id="11" name="Rounded Rectangle 11">
          <a:extLst>
            <a:ext uri="{FF2B5EF4-FFF2-40B4-BE49-F238E27FC236}">
              <a16:creationId xmlns:a16="http://schemas.microsoft.com/office/drawing/2014/main" id="{00000000-0008-0000-0300-00000B000000}"/>
            </a:ext>
          </a:extLst>
        </xdr:cNvPr>
        <xdr:cNvSpPr/>
      </xdr:nvSpPr>
      <xdr:spPr>
        <a:xfrm>
          <a:off x="11064241" y="6012180"/>
          <a:ext cx="2019300" cy="1950720"/>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fr-FR" sz="1100">
              <a:solidFill>
                <a:schemeClr val="lt1"/>
              </a:solidFill>
              <a:effectLst/>
              <a:latin typeface="+mn-lt"/>
              <a:ea typeface="+mn-ea"/>
              <a:cs typeface="+mn-cs"/>
            </a:rPr>
            <a:t>The EV/EBITDA multiple is ultimately informed by the observation and analysis of the Valuation Multiples existing</a:t>
          </a:r>
          <a:r>
            <a:rPr lang="fr-FR" sz="1100" baseline="0">
              <a:solidFill>
                <a:schemeClr val="lt1"/>
              </a:solidFill>
              <a:effectLst/>
              <a:latin typeface="+mn-lt"/>
              <a:ea typeface="+mn-ea"/>
              <a:cs typeface="+mn-cs"/>
            </a:rPr>
            <a:t> on public and private markets)</a:t>
          </a:r>
          <a:endParaRPr lang="fr-FR">
            <a:effectLst/>
          </a:endParaRPr>
        </a:p>
        <a:p>
          <a:endParaRPr lang="en-US">
            <a:effectLst/>
          </a:endParaRPr>
        </a:p>
      </xdr:txBody>
    </xdr:sp>
    <xdr:clientData/>
  </xdr:twoCellAnchor>
  <xdr:twoCellAnchor>
    <xdr:from>
      <xdr:col>0</xdr:col>
      <xdr:colOff>198120</xdr:colOff>
      <xdr:row>3</xdr:row>
      <xdr:rowOff>22860</xdr:rowOff>
    </xdr:from>
    <xdr:to>
      <xdr:col>8</xdr:col>
      <xdr:colOff>99060</xdr:colOff>
      <xdr:row>8</xdr:row>
      <xdr:rowOff>121920</xdr:rowOff>
    </xdr:to>
    <xdr:sp macro="" textlink="">
      <xdr:nvSpPr>
        <xdr:cNvPr id="12" name="Rounded Rectangle 11">
          <a:extLst>
            <a:ext uri="{FF2B5EF4-FFF2-40B4-BE49-F238E27FC236}">
              <a16:creationId xmlns:a16="http://schemas.microsoft.com/office/drawing/2014/main" id="{00000000-0008-0000-0300-00000C000000}"/>
            </a:ext>
          </a:extLst>
        </xdr:cNvPr>
        <xdr:cNvSpPr/>
      </xdr:nvSpPr>
      <xdr:spPr>
        <a:xfrm>
          <a:off x="198120" y="579120"/>
          <a:ext cx="10447020" cy="937260"/>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a:effectLst/>
            </a:rPr>
            <a:t>1.</a:t>
          </a:r>
          <a:r>
            <a:rPr lang="en-US" baseline="0">
              <a:effectLst/>
            </a:rPr>
            <a:t> Look for similar companies recently taken over</a:t>
          </a:r>
        </a:p>
        <a:p>
          <a:r>
            <a:rPr lang="en-US" baseline="0">
              <a:effectLst/>
            </a:rPr>
            <a:t>2. Calculate multiples: EV/EBITDA, PE, etc - you can use Enterprise value (EV) ou Share price (P)</a:t>
          </a:r>
        </a:p>
        <a:p>
          <a:r>
            <a:rPr lang="en-US" baseline="0">
              <a:effectLst/>
            </a:rPr>
            <a:t>3. Multiply multiples by target's matching financial metrics to find Target's Stock Value (if using EV multiple substract debt first)</a:t>
          </a:r>
          <a:endParaRPr lang="en-US">
            <a:effectLst/>
          </a:endParaRPr>
        </a:p>
      </xdr:txBody>
    </xdr:sp>
    <xdr:clientData/>
  </xdr:twoCellAnchor>
  <xdr:twoCellAnchor>
    <xdr:from>
      <xdr:col>1</xdr:col>
      <xdr:colOff>38100</xdr:colOff>
      <xdr:row>87</xdr:row>
      <xdr:rowOff>106680</xdr:rowOff>
    </xdr:from>
    <xdr:to>
      <xdr:col>8</xdr:col>
      <xdr:colOff>228600</xdr:colOff>
      <xdr:row>93</xdr:row>
      <xdr:rowOff>38100</xdr:rowOff>
    </xdr:to>
    <xdr:sp macro="" textlink="">
      <xdr:nvSpPr>
        <xdr:cNvPr id="13" name="Rounded Rectangle 11">
          <a:extLst>
            <a:ext uri="{FF2B5EF4-FFF2-40B4-BE49-F238E27FC236}">
              <a16:creationId xmlns:a16="http://schemas.microsoft.com/office/drawing/2014/main" id="{00000000-0008-0000-0300-00000D000000}"/>
            </a:ext>
          </a:extLst>
        </xdr:cNvPr>
        <xdr:cNvSpPr/>
      </xdr:nvSpPr>
      <xdr:spPr>
        <a:xfrm>
          <a:off x="327660" y="14257020"/>
          <a:ext cx="10447020" cy="937260"/>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a:effectLst/>
            </a:rPr>
            <a:t>1.</a:t>
          </a:r>
          <a:r>
            <a:rPr lang="en-US" baseline="0">
              <a:effectLst/>
            </a:rPr>
            <a:t> Look for companies similar to the target that trade on the stock exchange</a:t>
          </a:r>
        </a:p>
        <a:p>
          <a:r>
            <a:rPr lang="en-US" baseline="0">
              <a:effectLst/>
            </a:rPr>
            <a:t>2. Calculate multiples: EV/EBITDA, PE, etc - you can use Enterprise value (EV) ou Share price (P)</a:t>
          </a:r>
        </a:p>
        <a:p>
          <a:r>
            <a:rPr lang="en-US" baseline="0">
              <a:effectLst/>
            </a:rPr>
            <a:t>3. Multiply multiples by target's matching financial metrics to find Target's Stock Value (if using EV multiple substract debt first)</a:t>
          </a:r>
        </a:p>
        <a:p>
          <a:r>
            <a:rPr lang="en-US" baseline="0">
              <a:effectLst/>
            </a:rPr>
            <a:t>4. If in an acquisition context, add a takeover premium</a:t>
          </a:r>
          <a:endParaRPr lang="en-US">
            <a:effectLst/>
          </a:endParaRPr>
        </a:p>
      </xdr:txBody>
    </xdr:sp>
    <xdr:clientData/>
  </xdr:twoCellAnchor>
  <xdr:oneCellAnchor>
    <xdr:from>
      <xdr:col>10</xdr:col>
      <xdr:colOff>304800</xdr:colOff>
      <xdr:row>22</xdr:row>
      <xdr:rowOff>123825</xdr:rowOff>
    </xdr:from>
    <xdr:ext cx="38213153" cy="3709092"/>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401550" y="4019550"/>
          <a:ext cx="38213153" cy="3709092"/>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b="1" u="sng">
            <a:solidFill>
              <a:schemeClr val="tx1"/>
            </a:solidFill>
            <a:effectLst/>
            <a:latin typeface="+mn-lt"/>
            <a:ea typeface="+mn-ea"/>
            <a:cs typeface="+mn-cs"/>
          </a:endParaRPr>
        </a:p>
        <a:p>
          <a:r>
            <a:rPr lang="fr-FR" sz="1100" b="1" u="sng">
              <a:solidFill>
                <a:schemeClr val="tx1"/>
              </a:solidFill>
              <a:effectLst/>
              <a:latin typeface="+mn-lt"/>
              <a:ea typeface="+mn-ea"/>
              <a:cs typeface="+mn-cs"/>
            </a:rPr>
            <a:t>Commentaires</a:t>
          </a:r>
        </a:p>
        <a:p>
          <a:r>
            <a:rPr lang="fr-FR" sz="1100" b="1" u="sng">
              <a:solidFill>
                <a:schemeClr val="tx1"/>
              </a:solidFill>
              <a:effectLst/>
              <a:latin typeface="+mn-lt"/>
              <a:ea typeface="+mn-ea"/>
              <a:cs typeface="+mn-cs"/>
            </a:rPr>
            <a:t>Methode 1 : </a:t>
          </a:r>
          <a:r>
            <a:rPr lang="fr-FR" sz="1100">
              <a:solidFill>
                <a:schemeClr val="tx1"/>
              </a:solidFill>
              <a:effectLst/>
              <a:latin typeface="+mn-lt"/>
              <a:ea typeface="+mn-ea"/>
              <a:cs typeface="+mn-cs"/>
            </a:rPr>
            <a:t>on calcule beaucoup de multiples mais les seuls qui soient intéressants c’est PE, EV / Sales, EBITDA, EBIT (en sachant qu’on va retenir EV / Sales et EV /EBITDA ou EBIT selon les pratiques du secteur).</a:t>
          </a:r>
        </a:p>
        <a:p>
          <a:r>
            <a:rPr lang="fr-FR" sz="1100">
              <a:solidFill>
                <a:schemeClr val="tx1"/>
              </a:solidFill>
              <a:effectLst/>
              <a:latin typeface="+mn-lt"/>
              <a:ea typeface="+mn-ea"/>
              <a:cs typeface="+mn-cs"/>
            </a:rPr>
            <a:t> </a:t>
          </a:r>
        </a:p>
        <a:p>
          <a:r>
            <a:rPr lang="fr-FR" sz="1100">
              <a:solidFill>
                <a:schemeClr val="tx1"/>
              </a:solidFill>
              <a:effectLst/>
              <a:latin typeface="+mn-lt"/>
              <a:ea typeface="+mn-ea"/>
              <a:cs typeface="+mn-cs"/>
            </a:rPr>
            <a:t>Le multiple Price / sales estimates est redondant avec EV / sales</a:t>
          </a:r>
        </a:p>
        <a:p>
          <a:r>
            <a:rPr lang="fr-FR" sz="1100">
              <a:solidFill>
                <a:schemeClr val="tx1"/>
              </a:solidFill>
              <a:effectLst/>
              <a:latin typeface="+mn-lt"/>
              <a:ea typeface="+mn-ea"/>
              <a:cs typeface="+mn-cs"/>
            </a:rPr>
            <a:t> </a:t>
          </a:r>
        </a:p>
        <a:p>
          <a:r>
            <a:rPr lang="fr-FR" sz="1100">
              <a:solidFill>
                <a:schemeClr val="tx1"/>
              </a:solidFill>
              <a:effectLst/>
              <a:latin typeface="+mn-lt"/>
              <a:ea typeface="+mn-ea"/>
              <a:cs typeface="+mn-cs"/>
            </a:rPr>
            <a:t>Le multiple P/BV ne présente pas beaucoup d’intérêt (c’est un euphémisme) pour les financiers. Il fut un temps où les banquiers avaient accordés des prêts à des industriels en prenant des garanties sur leurs actifs industriels. Tous croyaient en la book value. La crise est arrivée. Les sociétés ont fait faillite et toutes les banques au même moment se sont retrouvées propriétaires d’actifs industriels du même secteur qui n’avaient plus aucune valeur parce qu’il y en avait pléthore sur le marché. (J’ai en tête une crise du textile il y a 30 ans où toutes les sociétés de développement régionale se sont retrouvées au même moment propriétaires de métiers à tisser ...).   </a:t>
          </a:r>
        </a:p>
        <a:p>
          <a:r>
            <a:rPr lang="fr-FR" sz="1100">
              <a:solidFill>
                <a:schemeClr val="tx1"/>
              </a:solidFill>
              <a:effectLst/>
              <a:latin typeface="+mn-lt"/>
              <a:ea typeface="+mn-ea"/>
              <a:cs typeface="+mn-cs"/>
            </a:rPr>
            <a:t> </a:t>
          </a:r>
        </a:p>
        <a:p>
          <a:r>
            <a:rPr lang="fr-FR" sz="1100">
              <a:solidFill>
                <a:schemeClr val="tx1"/>
              </a:solidFill>
              <a:effectLst/>
              <a:latin typeface="+mn-lt"/>
              <a:ea typeface="+mn-ea"/>
              <a:cs typeface="+mn-cs"/>
            </a:rPr>
            <a:t>Dans notre cas, une fois qu’on a calculé une valorisation à partir du PE et des ratios EV /Sales, EBIT ou EBITDA, il faut regarder / comprendre pourquoi on a une telle divergence entre les valos à partir du PE et celles à partir de l’EV.</a:t>
          </a:r>
        </a:p>
        <a:p>
          <a:r>
            <a:rPr lang="fr-FR" sz="1100">
              <a:solidFill>
                <a:schemeClr val="tx1"/>
              </a:solidFill>
              <a:effectLst/>
              <a:latin typeface="+mn-lt"/>
              <a:ea typeface="+mn-ea"/>
              <a:cs typeface="+mn-cs"/>
            </a:rPr>
            <a:t> </a:t>
          </a:r>
        </a:p>
        <a:p>
          <a:r>
            <a:rPr lang="fr-FR" sz="1100">
              <a:solidFill>
                <a:schemeClr val="tx1"/>
              </a:solidFill>
              <a:effectLst/>
              <a:latin typeface="+mn-lt"/>
              <a:ea typeface="+mn-ea"/>
              <a:cs typeface="+mn-cs"/>
            </a:rPr>
            <a:t>Ceci étant fait, se pose la question du choix des peers : dans l’exemple, on les prend tous en ou pas les pondérant. Je pense qu’il faut expliquer que certains sont comparables d’autres beaucoup moins et doivent être écartés. Ici, il faut retenir C (taille, marges, structure financière) et écarter A et B.</a:t>
          </a:r>
        </a:p>
        <a:p>
          <a:r>
            <a:rPr lang="fr-FR" sz="1100">
              <a:solidFill>
                <a:schemeClr val="tx1"/>
              </a:solidFill>
              <a:effectLst/>
              <a:latin typeface="+mn-lt"/>
              <a:ea typeface="+mn-ea"/>
              <a:cs typeface="+mn-cs"/>
            </a:rPr>
            <a:t> </a:t>
          </a:r>
        </a:p>
        <a:p>
          <a:r>
            <a:rPr lang="fr-FR" sz="1100">
              <a:solidFill>
                <a:schemeClr val="tx1"/>
              </a:solidFill>
              <a:effectLst/>
              <a:latin typeface="+mn-lt"/>
              <a:ea typeface="+mn-ea"/>
              <a:cs typeface="+mn-cs"/>
            </a:rPr>
            <a:t>En conclusion, il ne faut pas retenir trop de multiples ni trop de sociétés. Il faut faire des choix et les justifier.</a:t>
          </a:r>
        </a:p>
        <a:p>
          <a:r>
            <a:rPr lang="fr-FR" sz="1100">
              <a:solidFill>
                <a:schemeClr val="tx1"/>
              </a:solidFill>
              <a:effectLst/>
              <a:latin typeface="+mn-lt"/>
              <a:ea typeface="+mn-ea"/>
              <a:cs typeface="+mn-cs"/>
            </a:rPr>
            <a:t> </a:t>
          </a:r>
        </a:p>
        <a:p>
          <a:r>
            <a:rPr lang="fr-FR" sz="1100" b="1">
              <a:solidFill>
                <a:schemeClr val="tx1"/>
              </a:solidFill>
              <a:effectLst/>
              <a:latin typeface="+mn-lt"/>
              <a:ea typeface="+mn-ea"/>
              <a:cs typeface="+mn-cs"/>
            </a:rPr>
            <a:t>Dans la cas de la méthode 2:</a:t>
          </a:r>
          <a:r>
            <a:rPr lang="fr-FR" sz="1100">
              <a:solidFill>
                <a:schemeClr val="tx1"/>
              </a:solidFill>
              <a:effectLst/>
              <a:latin typeface="+mn-lt"/>
              <a:ea typeface="+mn-ea"/>
              <a:cs typeface="+mn-cs"/>
            </a:rPr>
            <a:t> on a à faire à une petite compagnie vs peers (CA = 170m vs 700/1100/1300 m), avec un niveau de profitabilité digne de B et C et un levier financier digne de B et C</a:t>
          </a:r>
        </a:p>
        <a:p>
          <a:r>
            <a:rPr lang="fr-FR" sz="1100">
              <a:solidFill>
                <a:schemeClr val="tx1"/>
              </a:solidFill>
              <a:effectLst/>
              <a:latin typeface="+mn-lt"/>
              <a:ea typeface="+mn-ea"/>
              <a:cs typeface="+mn-cs"/>
            </a:rPr>
            <a:t>—&gt; on doit écarter A AB Inbev</a:t>
          </a:r>
        </a:p>
        <a:p>
          <a:r>
            <a:rPr lang="fr-FR" sz="1100">
              <a:solidFill>
                <a:schemeClr val="tx1"/>
              </a:solidFill>
              <a:effectLst/>
              <a:latin typeface="+mn-lt"/>
              <a:ea typeface="+mn-ea"/>
              <a:cs typeface="+mn-cs"/>
            </a:rPr>
            <a:t>—&gt; il faut garder en tête que notre société est beaucoup plus petite que les peers et cela doit avoir un impact sur la valorisation.</a:t>
          </a:r>
        </a:p>
        <a:p>
          <a:r>
            <a:rPr lang="fr-FR" sz="1100">
              <a:solidFill>
                <a:schemeClr val="tx1"/>
              </a:solidFill>
              <a:effectLst/>
              <a:latin typeface="+mn-lt"/>
              <a:ea typeface="+mn-ea"/>
              <a:cs typeface="+mn-cs"/>
            </a:rPr>
            <a:t> </a:t>
          </a:r>
        </a:p>
        <a:p>
          <a:r>
            <a:rPr lang="fr-FR" sz="1100">
              <a:solidFill>
                <a:schemeClr val="tx1"/>
              </a:solidFill>
              <a:effectLst/>
              <a:latin typeface="+mn-lt"/>
              <a:ea typeface="+mn-ea"/>
              <a:cs typeface="+mn-cs"/>
            </a:rPr>
            <a:t>Ensuite concernant les ratios, j’écarterais P/BV, AB Inbev et serais plus sensible aux ratios basés / EV qui permettent d’intégrer la dette.</a:t>
          </a:r>
        </a:p>
        <a:p>
          <a:r>
            <a:rPr lang="fr-FR" sz="1100">
              <a:solidFill>
                <a:schemeClr val="tx1"/>
              </a:solidFill>
              <a:effectLst/>
              <a:latin typeface="+mn-lt"/>
              <a:ea typeface="+mn-ea"/>
              <a:cs typeface="+mn-cs"/>
            </a:rPr>
            <a:t> </a:t>
          </a:r>
        </a:p>
        <a:p>
          <a:endParaRPr lang="fr-FR"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8</xdr:col>
      <xdr:colOff>9525</xdr:colOff>
      <xdr:row>0</xdr:row>
      <xdr:rowOff>161925</xdr:rowOff>
    </xdr:from>
    <xdr:ext cx="1914525" cy="609013"/>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8169275" y="161925"/>
          <a:ext cx="1914525" cy="609013"/>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1" i="0" u="none" strike="noStrike">
              <a:solidFill>
                <a:schemeClr val="tx1"/>
              </a:solidFill>
              <a:effectLst/>
              <a:latin typeface="+mn-lt"/>
              <a:ea typeface="+mn-ea"/>
              <a:cs typeface="+mn-cs"/>
            </a:rPr>
            <a:t>Assumptions for projections</a:t>
          </a:r>
          <a:r>
            <a:rPr lang="en-GB"/>
            <a:t> - </a:t>
          </a:r>
          <a:r>
            <a:rPr lang="en-GB" sz="1100" b="0" i="0" u="none" strike="noStrike">
              <a:solidFill>
                <a:schemeClr val="tx1"/>
              </a:solidFill>
              <a:effectLst/>
              <a:latin typeface="+mn-lt"/>
              <a:ea typeface="+mn-ea"/>
              <a:cs typeface="+mn-cs"/>
            </a:rPr>
            <a:t>Goodwill is never impaired</a:t>
          </a:r>
          <a:r>
            <a:rPr lang="en-GB"/>
            <a:t> </a:t>
          </a:r>
        </a:p>
        <a:p>
          <a:r>
            <a:rPr lang="en-GB" sz="1100" b="0" i="0" u="none" strike="noStrike">
              <a:solidFill>
                <a:schemeClr val="tx1"/>
              </a:solidFill>
              <a:effectLst/>
              <a:latin typeface="+mn-lt"/>
              <a:ea typeface="+mn-ea"/>
              <a:cs typeface="+mn-cs"/>
            </a:rPr>
            <a:t>- Dividend payout = 0%</a:t>
          </a:r>
          <a:r>
            <a:rPr lang="en-GB"/>
            <a:t> </a:t>
          </a:r>
          <a:r>
            <a:rPr lang="en-GB" sz="1100" b="0" i="0" u="none" strike="noStrike">
              <a:solidFill>
                <a:schemeClr val="tx1"/>
              </a:solidFill>
              <a:effectLst/>
              <a:latin typeface="+mn-lt"/>
              <a:ea typeface="+mn-ea"/>
              <a:cs typeface="+mn-cs"/>
            </a:rPr>
            <a:t>- </a:t>
          </a:r>
          <a:endParaRPr lang="en-GB" sz="1100"/>
        </a:p>
      </xdr:txBody>
    </xdr:sp>
    <xdr:clientData/>
  </xdr:oneCellAnchor>
</xdr:wsDr>
</file>

<file path=xl/theme/theme1.xml><?xml version="1.0" encoding="utf-8"?>
<a:theme xmlns:a="http://schemas.openxmlformats.org/drawingml/2006/main" name="Thème Office">
  <a:themeElements>
    <a:clrScheme name="Paper">
      <a:dk1>
        <a:sysClr val="windowText" lastClr="000000"/>
      </a:dk1>
      <a:lt1>
        <a:sysClr val="window" lastClr="FFFFFF"/>
      </a:lt1>
      <a:dk2>
        <a:srgbClr val="444D26"/>
      </a:dk2>
      <a:lt2>
        <a:srgbClr val="FEFAC9"/>
      </a:lt2>
      <a:accent1>
        <a:srgbClr val="A5B592"/>
      </a:accent1>
      <a:accent2>
        <a:srgbClr val="F3A447"/>
      </a:accent2>
      <a:accent3>
        <a:srgbClr val="E7BC29"/>
      </a:accent3>
      <a:accent4>
        <a:srgbClr val="D092A7"/>
      </a:accent4>
      <a:accent5>
        <a:srgbClr val="9C85C0"/>
      </a:accent5>
      <a:accent6>
        <a:srgbClr val="809EC2"/>
      </a:accent6>
      <a:hlink>
        <a:srgbClr val="8E58B6"/>
      </a:hlink>
      <a:folHlink>
        <a:srgbClr val="7F6F6F"/>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59999389629810485"/>
  </sheetPr>
  <dimension ref="A2:D23"/>
  <sheetViews>
    <sheetView workbookViewId="0">
      <selection activeCell="E13" sqref="E13"/>
    </sheetView>
  </sheetViews>
  <sheetFormatPr defaultColWidth="8.85546875" defaultRowHeight="12.75" x14ac:dyDescent="0.2"/>
  <cols>
    <col min="1" max="1" width="5.28515625" style="300" customWidth="1"/>
    <col min="2" max="2" width="3.28515625" style="300" customWidth="1"/>
    <col min="3" max="3" width="78.28515625" style="300" customWidth="1"/>
    <col min="4" max="16384" width="8.85546875" style="300"/>
  </cols>
  <sheetData>
    <row r="2" spans="1:4" ht="18" x14ac:dyDescent="0.25">
      <c r="B2" s="721" t="s">
        <v>337</v>
      </c>
    </row>
    <row r="4" spans="1:4" s="693" customFormat="1" x14ac:dyDescent="0.2">
      <c r="A4" s="693">
        <v>1</v>
      </c>
      <c r="B4" s="720" t="s">
        <v>0</v>
      </c>
    </row>
    <row r="5" spans="1:4" x14ac:dyDescent="0.2">
      <c r="C5" s="299" t="str">
        <f>Cockpit1</f>
        <v>Decisions to be made by the buyer</v>
      </c>
    </row>
    <row r="6" spans="1:4" x14ac:dyDescent="0.2">
      <c r="C6" s="299" t="str">
        <f>Cockpit2</f>
        <v xml:space="preserve">Valuation summary: what would the decision-maker want to see to make her/his decision? </v>
      </c>
    </row>
    <row r="7" spans="1:4" x14ac:dyDescent="0.2">
      <c r="C7" s="299" t="str">
        <f>Cockpit3</f>
        <v>Sensitivity analysis (WACC/g) for Target share price</v>
      </c>
    </row>
    <row r="8" spans="1:4" x14ac:dyDescent="0.2">
      <c r="C8" s="299" t="str">
        <f>Cockpit4</f>
        <v>Financial Statements &amp; Assumptions</v>
      </c>
    </row>
    <row r="10" spans="1:4" s="693" customFormat="1" x14ac:dyDescent="0.2">
      <c r="A10" s="693">
        <v>2</v>
      </c>
      <c r="B10" s="720" t="s">
        <v>1</v>
      </c>
    </row>
    <row r="11" spans="1:4" x14ac:dyDescent="0.2">
      <c r="C11" s="299" t="str">
        <f>'2-Valuation DCF'!C2</f>
        <v>Target Valuation by Discounted Cash Flows (in Mil EUR)</v>
      </c>
    </row>
    <row r="12" spans="1:4" x14ac:dyDescent="0.2">
      <c r="C12" s="299" t="str">
        <f>'2-Valuation DCF'!C55</f>
        <v>Buyer Valuation by Discounted Cash Flows (in Mil EUR)</v>
      </c>
      <c r="D12" s="693"/>
    </row>
    <row r="13" spans="1:4" x14ac:dyDescent="0.2">
      <c r="C13" s="299" t="str">
        <f>Synergies</f>
        <v>Synergies (in Mil EUR)</v>
      </c>
    </row>
    <row r="14" spans="1:4" x14ac:dyDescent="0.2">
      <c r="C14" s="299" t="str">
        <f>Financing</f>
        <v>Financing the venture</v>
      </c>
    </row>
    <row r="15" spans="1:4" x14ac:dyDescent="0.2">
      <c r="C15" s="299" t="str">
        <f>Consolidated</f>
        <v>Buyer and Seller - Consolidated Figures (in m€)</v>
      </c>
    </row>
    <row r="16" spans="1:4" x14ac:dyDescent="0.2">
      <c r="C16" s="299" t="str">
        <f>FCFE</f>
        <v xml:space="preserve">From FCFF to FCFE </v>
      </c>
    </row>
    <row r="17" spans="1:3" x14ac:dyDescent="0.2">
      <c r="C17" s="299" t="str">
        <f>'2-Valuation DCF'!C219</f>
        <v xml:space="preserve">Creditor's analysts and constraints </v>
      </c>
    </row>
    <row r="19" spans="1:3" s="693" customFormat="1" x14ac:dyDescent="0.2">
      <c r="A19" s="693">
        <v>3</v>
      </c>
      <c r="B19" s="720" t="s">
        <v>2</v>
      </c>
    </row>
    <row r="20" spans="1:3" x14ac:dyDescent="0.2">
      <c r="B20" s="299"/>
      <c r="C20" s="299" t="str">
        <f>Method1</f>
        <v>Method 1: when comparables are private companies - multiples based on transactions</v>
      </c>
    </row>
    <row r="21" spans="1:3" x14ac:dyDescent="0.2">
      <c r="C21" s="299" t="str">
        <f>'3-Valuation Multiples'!C87</f>
        <v>Method 2: When comparables  trade on a stock exchange - multiples based on stock prices</v>
      </c>
    </row>
    <row r="22" spans="1:3" x14ac:dyDescent="0.2">
      <c r="C22" s="299"/>
    </row>
    <row r="23" spans="1:3" s="693" customFormat="1" x14ac:dyDescent="0.2">
      <c r="A23" s="693">
        <v>4</v>
      </c>
      <c r="B23" s="720" t="s">
        <v>3</v>
      </c>
    </row>
  </sheetData>
  <hyperlinks>
    <hyperlink ref="B4" location="Cockpit!A1" display="Cockpit"/>
    <hyperlink ref="C5" location="Cockpit1" display="Cockpit1"/>
    <hyperlink ref="C6" location="Cockpit2" display="Cockpit2"/>
    <hyperlink ref="C7" location="Cockpit3" display="Cockpit3"/>
    <hyperlink ref="C8" location="Cockpit4" display="Cockpit4"/>
    <hyperlink ref="B10" location="'1-VALUATION DCF'!A1" display="DCF Valuation"/>
    <hyperlink ref="C11" location="TargetDCF" display="TargetDCF"/>
    <hyperlink ref="C12" location="BuyerDCF" display="BuyerDCF"/>
    <hyperlink ref="C13" location="Synergies" display="Synergies"/>
    <hyperlink ref="C14" location="Financing" display="Financing"/>
    <hyperlink ref="C15" location="Consolidated" display="Consolidated"/>
    <hyperlink ref="C16" location="FCFE" display="FCFE"/>
    <hyperlink ref="C17" location="CreditorsCostraints" display="CreditorsCostraints"/>
    <hyperlink ref="B19" location="'2-VALUATION MULTIPLES'!A1" display="Multiples / Comparables Valuation"/>
    <hyperlink ref="B23" location="'3-Financial Projections'!A1" display="Financial Projections"/>
    <hyperlink ref="C20" location="Multiples1" display="Multiples1"/>
    <hyperlink ref="C21" location="Multiples2" display="Multiples2"/>
  </hyperlinks>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499984740745262"/>
  </sheetPr>
  <dimension ref="A1:CT563"/>
  <sheetViews>
    <sheetView topLeftCell="B146" zoomScale="95" zoomScaleNormal="80" workbookViewId="0">
      <selection activeCell="L155" sqref="L155"/>
    </sheetView>
  </sheetViews>
  <sheetFormatPr defaultColWidth="9.28515625" defaultRowHeight="15" outlineLevelRow="1" x14ac:dyDescent="0.25"/>
  <cols>
    <col min="1" max="1" width="3.28515625" style="425" customWidth="1"/>
    <col min="2" max="2" width="3.42578125" style="433" customWidth="1"/>
    <col min="3" max="3" width="46.28515625" style="425" customWidth="1"/>
    <col min="4" max="4" width="12.28515625" style="434" customWidth="1"/>
    <col min="5" max="5" width="14.7109375" style="434" customWidth="1"/>
    <col min="6" max="6" width="19.140625" style="425" customWidth="1"/>
    <col min="7" max="7" width="14.7109375" style="425" customWidth="1"/>
    <col min="8" max="8" width="9.7109375" style="425" customWidth="1"/>
    <col min="9" max="10" width="13.7109375" style="425" customWidth="1"/>
    <col min="11" max="11" width="23.7109375" style="425" customWidth="1"/>
    <col min="12" max="12" width="19.140625" style="425" customWidth="1"/>
    <col min="13" max="16" width="9.7109375" style="425" customWidth="1"/>
    <col min="17" max="98" width="9.28515625" style="424"/>
    <col min="99" max="16384" width="9.28515625" style="425"/>
  </cols>
  <sheetData>
    <row r="1" spans="1:16" x14ac:dyDescent="0.25">
      <c r="A1" s="427"/>
      <c r="B1" s="129">
        <v>1</v>
      </c>
      <c r="C1" s="429" t="s">
        <v>4</v>
      </c>
      <c r="D1" s="430"/>
      <c r="E1" s="430"/>
      <c r="F1" s="431"/>
      <c r="G1" s="430"/>
      <c r="H1" s="431"/>
      <c r="I1" s="431"/>
      <c r="J1" s="431"/>
      <c r="K1" s="431"/>
      <c r="L1" s="431"/>
      <c r="M1" s="431"/>
      <c r="N1" s="431"/>
      <c r="O1" s="427"/>
      <c r="P1" s="427"/>
    </row>
    <row r="2" spans="1:16" s="424" customFormat="1" outlineLevel="1" x14ac:dyDescent="0.25">
      <c r="A2" s="436"/>
      <c r="B2" s="437"/>
      <c r="C2" s="436"/>
      <c r="D2" s="438"/>
      <c r="E2" s="439"/>
      <c r="F2" s="436"/>
      <c r="G2" s="439"/>
      <c r="H2" s="440"/>
      <c r="I2" s="440"/>
      <c r="J2" s="440"/>
      <c r="K2" s="436"/>
      <c r="L2" s="436"/>
      <c r="M2" s="436"/>
      <c r="N2" s="436"/>
      <c r="O2" s="436"/>
      <c r="P2" s="436"/>
    </row>
    <row r="3" spans="1:16" s="424" customFormat="1" outlineLevel="1" x14ac:dyDescent="0.25">
      <c r="A3" s="436"/>
      <c r="B3" s="437"/>
      <c r="C3" s="436"/>
      <c r="D3" s="438"/>
      <c r="E3" s="439"/>
      <c r="F3" s="436"/>
      <c r="G3" s="439"/>
      <c r="H3" s="440"/>
      <c r="I3" s="440"/>
      <c r="J3" s="440"/>
      <c r="K3" s="436"/>
      <c r="L3" s="436"/>
      <c r="M3" s="436"/>
      <c r="N3" s="436"/>
      <c r="O3" s="436"/>
      <c r="P3" s="436"/>
    </row>
    <row r="4" spans="1:16" s="424" customFormat="1" outlineLevel="1" x14ac:dyDescent="0.25">
      <c r="A4" s="436"/>
      <c r="B4" s="437"/>
      <c r="C4" s="436"/>
      <c r="D4" s="438"/>
      <c r="E4" s="439"/>
      <c r="F4" s="436"/>
      <c r="G4" s="439"/>
      <c r="H4" s="440"/>
      <c r="I4" s="440"/>
      <c r="J4" s="440"/>
      <c r="K4" s="436"/>
      <c r="L4" s="436"/>
      <c r="M4" s="436"/>
      <c r="N4" s="436"/>
      <c r="O4" s="436"/>
      <c r="P4" s="436"/>
    </row>
    <row r="5" spans="1:16" s="424" customFormat="1" outlineLevel="1" x14ac:dyDescent="0.25">
      <c r="A5" s="436"/>
      <c r="B5" s="437"/>
      <c r="C5" s="436"/>
      <c r="D5" s="438"/>
      <c r="E5" s="439"/>
      <c r="F5" s="436"/>
      <c r="G5" s="439"/>
      <c r="H5" s="440"/>
      <c r="I5" s="440"/>
      <c r="J5" s="440"/>
      <c r="K5" s="436"/>
      <c r="L5" s="436"/>
      <c r="M5" s="436"/>
      <c r="N5" s="436"/>
      <c r="O5" s="436"/>
      <c r="P5" s="436"/>
    </row>
    <row r="6" spans="1:16" s="424" customFormat="1" outlineLevel="1" x14ac:dyDescent="0.25">
      <c r="A6" s="436"/>
      <c r="B6" s="437"/>
      <c r="C6" s="436"/>
      <c r="D6" s="438"/>
      <c r="E6" s="439"/>
      <c r="F6" s="436"/>
      <c r="G6" s="439"/>
      <c r="H6" s="440"/>
      <c r="I6" s="440"/>
      <c r="J6" s="440"/>
      <c r="K6" s="436"/>
      <c r="L6" s="436"/>
      <c r="M6" s="436"/>
      <c r="N6" s="436"/>
      <c r="O6" s="436"/>
      <c r="P6" s="436"/>
    </row>
    <row r="7" spans="1:16" s="424" customFormat="1" outlineLevel="1" x14ac:dyDescent="0.25">
      <c r="A7" s="436"/>
      <c r="B7" s="437"/>
      <c r="C7" s="436"/>
      <c r="D7" s="438"/>
      <c r="E7" s="439"/>
      <c r="F7" s="436"/>
      <c r="G7" s="439"/>
      <c r="H7" s="440"/>
      <c r="I7" s="440"/>
      <c r="J7" s="440"/>
      <c r="K7" s="436"/>
      <c r="L7" s="436"/>
      <c r="M7" s="436"/>
      <c r="N7" s="436"/>
      <c r="O7" s="436"/>
      <c r="P7" s="436"/>
    </row>
    <row r="8" spans="1:16" s="424" customFormat="1" outlineLevel="1" x14ac:dyDescent="0.25">
      <c r="A8" s="436"/>
      <c r="B8" s="437"/>
      <c r="C8" s="441" t="s">
        <v>5</v>
      </c>
      <c r="D8" s="438"/>
      <c r="E8" s="624" t="s">
        <v>6</v>
      </c>
      <c r="F8" s="624">
        <v>2024</v>
      </c>
      <c r="G8" s="439"/>
      <c r="H8" s="440"/>
      <c r="I8" s="440"/>
      <c r="J8" s="440"/>
      <c r="K8" s="436"/>
      <c r="L8" s="436"/>
      <c r="M8" s="436"/>
      <c r="N8" s="436"/>
      <c r="O8" s="436"/>
      <c r="P8" s="436"/>
    </row>
    <row r="9" spans="1:16" s="424" customFormat="1" ht="15.75" outlineLevel="1" thickBot="1" x14ac:dyDescent="0.3">
      <c r="A9" s="436"/>
      <c r="B9" s="437"/>
      <c r="C9" s="441"/>
      <c r="D9" s="694"/>
      <c r="E9" s="569" t="s">
        <v>9</v>
      </c>
      <c r="F9" s="436"/>
      <c r="G9" s="439"/>
      <c r="H9" s="440"/>
      <c r="I9" s="440"/>
      <c r="J9" s="440"/>
      <c r="K9" s="436"/>
      <c r="L9" s="436"/>
      <c r="M9" s="436"/>
      <c r="N9" s="436"/>
      <c r="O9" s="436"/>
      <c r="P9" s="436"/>
    </row>
    <row r="10" spans="1:16" s="424" customFormat="1" outlineLevel="1" x14ac:dyDescent="0.25">
      <c r="A10" s="436"/>
      <c r="B10" s="437"/>
      <c r="C10" s="464" t="s">
        <v>7</v>
      </c>
      <c r="D10" s="751">
        <f>300</f>
        <v>300</v>
      </c>
      <c r="E10" s="753" t="s">
        <v>342</v>
      </c>
      <c r="F10" s="450"/>
      <c r="G10" s="754">
        <f>'2-Valuation DCF'!E133+'2-Valuation DCF'!E49</f>
        <v>959.78884654722026</v>
      </c>
      <c r="H10" s="440"/>
      <c r="I10" s="440"/>
      <c r="J10" s="440"/>
      <c r="K10" s="436"/>
      <c r="L10" s="436"/>
      <c r="M10" s="436"/>
      <c r="N10" s="436"/>
      <c r="O10" s="436"/>
      <c r="P10" s="436"/>
    </row>
    <row r="11" spans="1:16" s="424" customFormat="1" ht="15.75" outlineLevel="1" thickBot="1" x14ac:dyDescent="0.3">
      <c r="A11" s="436"/>
      <c r="B11" s="437"/>
      <c r="C11" s="568" t="s">
        <v>8</v>
      </c>
      <c r="D11" s="752">
        <f>(D10*'1-Cockpit&amp;assumptions'!E122)/1000</f>
        <v>900</v>
      </c>
      <c r="E11" s="756" t="s">
        <v>341</v>
      </c>
      <c r="F11" s="455"/>
      <c r="G11" s="755">
        <f>'2-Valuation DCF'!E49</f>
        <v>864.35376884939342</v>
      </c>
      <c r="H11" s="440"/>
      <c r="I11" s="440"/>
      <c r="J11" s="436"/>
      <c r="K11" s="436"/>
      <c r="L11" s="436"/>
      <c r="M11" s="436"/>
      <c r="N11" s="436"/>
      <c r="O11" s="436"/>
      <c r="P11" s="436"/>
    </row>
    <row r="12" spans="1:16" s="424" customFormat="1" ht="15.75" outlineLevel="1" thickBot="1" x14ac:dyDescent="0.3">
      <c r="A12" s="436"/>
      <c r="B12" s="437"/>
      <c r="C12" s="436"/>
      <c r="D12" s="694"/>
      <c r="E12" s="439"/>
      <c r="F12" s="436"/>
      <c r="G12" s="436"/>
      <c r="H12" s="440"/>
      <c r="I12" s="440"/>
      <c r="J12" s="436"/>
      <c r="K12" s="436"/>
      <c r="L12" s="436"/>
      <c r="M12" s="436"/>
      <c r="N12" s="436"/>
      <c r="O12" s="436"/>
      <c r="P12" s="436"/>
    </row>
    <row r="13" spans="1:16" s="424" customFormat="1" ht="15.75" outlineLevel="1" thickBot="1" x14ac:dyDescent="0.3">
      <c r="A13" s="436"/>
      <c r="B13" s="437"/>
      <c r="C13" s="442" t="s">
        <v>10</v>
      </c>
      <c r="D13" s="695">
        <v>0.8</v>
      </c>
      <c r="E13" s="439"/>
      <c r="F13" s="436"/>
      <c r="G13" s="436"/>
      <c r="H13" s="440"/>
      <c r="I13" s="440"/>
      <c r="J13" s="426"/>
      <c r="K13" s="436"/>
      <c r="L13" s="436"/>
      <c r="M13" s="436"/>
      <c r="N13" s="436"/>
      <c r="O13" s="436"/>
      <c r="P13" s="436"/>
    </row>
    <row r="14" spans="1:16" s="424" customFormat="1" outlineLevel="1" x14ac:dyDescent="0.25">
      <c r="A14" s="436"/>
      <c r="B14" s="437"/>
      <c r="C14" s="436"/>
      <c r="D14" s="436"/>
      <c r="E14" s="439"/>
      <c r="F14" s="436"/>
      <c r="G14" s="436"/>
      <c r="H14" s="440"/>
      <c r="I14" s="440"/>
      <c r="J14" s="426"/>
      <c r="K14" s="436"/>
      <c r="L14" s="436"/>
      <c r="M14" s="436"/>
      <c r="N14" s="436"/>
      <c r="O14" s="436"/>
      <c r="P14" s="436"/>
    </row>
    <row r="15" spans="1:16" s="424" customFormat="1" outlineLevel="1" x14ac:dyDescent="0.25">
      <c r="A15" s="436"/>
      <c r="B15" s="437"/>
      <c r="C15" s="436"/>
      <c r="D15" s="436"/>
      <c r="E15" s="439"/>
      <c r="F15" s="436"/>
      <c r="G15" s="436"/>
      <c r="H15" s="440"/>
      <c r="I15" s="440"/>
      <c r="J15" s="426"/>
      <c r="K15" s="436"/>
      <c r="L15" s="436"/>
      <c r="M15" s="436"/>
      <c r="N15" s="436"/>
      <c r="O15" s="436"/>
      <c r="P15" s="436"/>
    </row>
    <row r="16" spans="1:16" s="424" customFormat="1" outlineLevel="1" x14ac:dyDescent="0.25">
      <c r="A16" s="436"/>
      <c r="B16" s="437"/>
      <c r="C16" s="436"/>
      <c r="D16" s="436"/>
      <c r="E16" s="439"/>
      <c r="F16" s="436"/>
      <c r="G16" s="436"/>
      <c r="H16" s="440"/>
      <c r="I16" s="440"/>
      <c r="J16" s="426"/>
      <c r="K16" s="436"/>
      <c r="L16" s="436"/>
      <c r="M16" s="436"/>
      <c r="N16" s="436"/>
      <c r="O16" s="436"/>
      <c r="P16" s="436"/>
    </row>
    <row r="17" spans="1:16" s="424" customFormat="1" outlineLevel="1" x14ac:dyDescent="0.25">
      <c r="A17" s="436"/>
      <c r="B17" s="437"/>
      <c r="C17" s="436"/>
      <c r="D17" s="436"/>
      <c r="E17" s="439"/>
      <c r="F17" s="436"/>
      <c r="G17" s="436"/>
      <c r="H17" s="440"/>
      <c r="I17" s="440"/>
      <c r="J17" s="426"/>
      <c r="K17" s="436"/>
      <c r="L17" s="436"/>
      <c r="M17" s="436"/>
      <c r="N17" s="436"/>
      <c r="O17" s="436"/>
      <c r="P17" s="436"/>
    </row>
    <row r="18" spans="1:16" s="424" customFormat="1" outlineLevel="1" x14ac:dyDescent="0.25">
      <c r="A18" s="436"/>
      <c r="B18" s="437"/>
      <c r="C18" s="443" t="s">
        <v>11</v>
      </c>
      <c r="D18" s="622" t="s">
        <v>12</v>
      </c>
      <c r="E18" s="623" t="s">
        <v>13</v>
      </c>
      <c r="F18" s="436"/>
      <c r="G18" s="439"/>
      <c r="H18" s="436"/>
      <c r="I18" s="436"/>
      <c r="J18" s="436"/>
      <c r="K18" s="436"/>
      <c r="L18" s="436"/>
      <c r="M18" s="436"/>
      <c r="N18" s="436"/>
      <c r="O18" s="436"/>
      <c r="P18" s="436"/>
    </row>
    <row r="19" spans="1:16" s="424" customFormat="1" outlineLevel="1" x14ac:dyDescent="0.25">
      <c r="A19" s="436"/>
      <c r="B19" s="437"/>
      <c r="C19" s="444" t="s">
        <v>14</v>
      </c>
      <c r="D19" s="445">
        <f>D13</f>
        <v>0.8</v>
      </c>
      <c r="E19" s="507">
        <f>D19*D11</f>
        <v>720</v>
      </c>
      <c r="F19" s="436"/>
      <c r="G19" s="439"/>
      <c r="H19" s="436"/>
      <c r="I19" s="436"/>
      <c r="J19" s="436"/>
      <c r="K19" s="436"/>
      <c r="L19" s="436"/>
      <c r="M19" s="436"/>
      <c r="N19" s="436"/>
      <c r="O19" s="436"/>
      <c r="P19" s="436"/>
    </row>
    <row r="20" spans="1:16" s="424" customFormat="1" outlineLevel="1" x14ac:dyDescent="0.25">
      <c r="A20" s="436"/>
      <c r="B20" s="437"/>
      <c r="C20" s="444" t="s">
        <v>15</v>
      </c>
      <c r="D20" s="446">
        <f>100%-D19</f>
        <v>0.19999999999999996</v>
      </c>
      <c r="E20" s="507">
        <f>D11-E19</f>
        <v>180</v>
      </c>
      <c r="F20" s="436"/>
      <c r="G20" s="439"/>
      <c r="H20" s="436"/>
      <c r="I20" s="436"/>
      <c r="J20" s="436"/>
      <c r="K20" s="436"/>
      <c r="L20" s="436"/>
      <c r="M20" s="436"/>
      <c r="N20" s="436"/>
      <c r="O20" s="436"/>
      <c r="P20" s="436"/>
    </row>
    <row r="21" spans="1:16" s="424" customFormat="1" outlineLevel="1" x14ac:dyDescent="0.25">
      <c r="A21" s="436"/>
      <c r="B21" s="437"/>
      <c r="C21" s="447" t="s">
        <v>16</v>
      </c>
      <c r="D21" s="448">
        <f>SUM(D19:D20)</f>
        <v>1</v>
      </c>
      <c r="E21" s="508">
        <f>SUM(E19:E20)</f>
        <v>900</v>
      </c>
      <c r="F21" s="436"/>
      <c r="G21" s="439"/>
      <c r="H21" s="436"/>
      <c r="I21" s="436"/>
      <c r="J21" s="436"/>
      <c r="K21" s="436"/>
      <c r="L21" s="436"/>
      <c r="M21" s="436"/>
      <c r="N21" s="436"/>
      <c r="O21" s="436"/>
      <c r="P21" s="436"/>
    </row>
    <row r="22" spans="1:16" s="424" customFormat="1" outlineLevel="1" x14ac:dyDescent="0.25">
      <c r="A22" s="436"/>
      <c r="B22" s="437"/>
      <c r="C22" s="436"/>
      <c r="D22" s="439"/>
      <c r="E22" s="439"/>
      <c r="F22" s="436"/>
      <c r="G22" s="439"/>
      <c r="H22" s="436"/>
      <c r="I22" s="436"/>
      <c r="J22" s="436"/>
      <c r="K22" s="436"/>
      <c r="L22" s="436"/>
      <c r="M22" s="436"/>
      <c r="N22" s="436"/>
      <c r="O22" s="436"/>
      <c r="P22" s="436"/>
    </row>
    <row r="23" spans="1:16" s="424" customFormat="1" outlineLevel="1" x14ac:dyDescent="0.25">
      <c r="A23" s="436"/>
      <c r="B23" s="437"/>
      <c r="C23" s="436"/>
      <c r="D23" s="439"/>
      <c r="E23" s="439"/>
      <c r="F23" s="436"/>
      <c r="G23" s="439"/>
      <c r="H23" s="436"/>
      <c r="I23" s="436"/>
      <c r="J23" s="436"/>
      <c r="K23" s="436"/>
      <c r="L23" s="436"/>
      <c r="M23" s="436"/>
      <c r="N23" s="436"/>
      <c r="O23" s="436"/>
      <c r="P23" s="436"/>
    </row>
    <row r="24" spans="1:16" s="424" customFormat="1" outlineLevel="1" x14ac:dyDescent="0.25">
      <c r="A24" s="436"/>
      <c r="B24" s="437"/>
      <c r="C24" s="436"/>
      <c r="D24" s="439"/>
      <c r="E24" s="439"/>
      <c r="F24" s="436"/>
      <c r="G24" s="439"/>
      <c r="H24" s="436"/>
      <c r="I24" s="436"/>
      <c r="J24" s="436"/>
      <c r="K24" s="436"/>
      <c r="L24" s="436"/>
      <c r="M24" s="436"/>
      <c r="N24" s="436"/>
      <c r="O24" s="436"/>
      <c r="P24" s="436"/>
    </row>
    <row r="25" spans="1:16" s="424" customFormat="1" outlineLevel="1" x14ac:dyDescent="0.25">
      <c r="A25" s="436"/>
      <c r="B25" s="437"/>
      <c r="C25" s="436"/>
      <c r="D25" s="439"/>
      <c r="E25" s="439"/>
      <c r="F25" s="436"/>
      <c r="G25" s="439"/>
      <c r="H25" s="436"/>
      <c r="I25" s="436"/>
      <c r="J25" s="436"/>
      <c r="K25" s="436"/>
      <c r="L25" s="436"/>
      <c r="M25" s="436"/>
      <c r="N25" s="436"/>
      <c r="O25" s="436"/>
      <c r="P25" s="436"/>
    </row>
    <row r="26" spans="1:16" s="424" customFormat="1" outlineLevel="1" x14ac:dyDescent="0.25">
      <c r="A26" s="436"/>
      <c r="B26" s="437"/>
      <c r="C26" s="436"/>
      <c r="D26" s="439"/>
      <c r="E26" s="439"/>
      <c r="F26" s="436"/>
      <c r="G26" s="439"/>
      <c r="H26" s="436"/>
      <c r="I26" s="436"/>
      <c r="J26" s="436"/>
      <c r="K26" s="436"/>
      <c r="L26" s="436"/>
      <c r="M26" s="436"/>
      <c r="N26" s="436"/>
      <c r="O26" s="436"/>
      <c r="P26" s="436"/>
    </row>
    <row r="27" spans="1:16" s="424" customFormat="1" outlineLevel="1" x14ac:dyDescent="0.25">
      <c r="A27" s="436"/>
      <c r="B27" s="437"/>
      <c r="C27" s="436"/>
      <c r="D27" s="439"/>
      <c r="E27" s="439"/>
      <c r="F27" s="436"/>
      <c r="G27" s="439"/>
      <c r="H27" s="436"/>
      <c r="I27" s="436"/>
      <c r="J27" s="436"/>
      <c r="K27" s="436"/>
      <c r="L27" s="436"/>
      <c r="M27" s="436"/>
      <c r="N27" s="436"/>
      <c r="O27" s="436"/>
      <c r="P27" s="436"/>
    </row>
    <row r="28" spans="1:16" s="424" customFormat="1" outlineLevel="1" x14ac:dyDescent="0.25">
      <c r="A28" s="436"/>
      <c r="B28" s="437"/>
      <c r="C28" s="436"/>
      <c r="D28" s="439"/>
      <c r="E28" s="439"/>
      <c r="F28" s="436"/>
      <c r="G28" s="439"/>
      <c r="H28" s="436"/>
      <c r="I28" s="436"/>
      <c r="J28" s="436"/>
      <c r="K28" s="436"/>
      <c r="L28" s="436"/>
      <c r="M28" s="436"/>
      <c r="N28" s="436"/>
      <c r="O28" s="436"/>
      <c r="P28" s="436"/>
    </row>
    <row r="29" spans="1:16" s="424" customFormat="1" x14ac:dyDescent="0.25">
      <c r="A29" s="436"/>
      <c r="B29" s="437"/>
      <c r="C29" s="436"/>
      <c r="D29" s="439"/>
      <c r="E29" s="439"/>
      <c r="F29" s="436"/>
      <c r="G29" s="439"/>
      <c r="H29" s="436"/>
      <c r="I29" s="436"/>
      <c r="J29" s="436"/>
      <c r="K29" s="436"/>
      <c r="L29" s="436"/>
      <c r="M29" s="436"/>
      <c r="N29" s="436"/>
      <c r="O29" s="436"/>
      <c r="P29" s="436"/>
    </row>
    <row r="30" spans="1:16" x14ac:dyDescent="0.25">
      <c r="A30" s="427"/>
      <c r="B30" s="428">
        <f>B1+1</f>
        <v>2</v>
      </c>
      <c r="C30" s="429" t="s">
        <v>17</v>
      </c>
      <c r="D30" s="430"/>
      <c r="E30" s="430"/>
      <c r="F30" s="431"/>
      <c r="G30" s="430"/>
      <c r="H30" s="431"/>
      <c r="I30" s="431"/>
      <c r="J30" s="431"/>
      <c r="K30" s="431"/>
      <c r="L30" s="431"/>
      <c r="M30" s="431"/>
      <c r="N30" s="431"/>
      <c r="O30" s="427"/>
      <c r="P30" s="427"/>
    </row>
    <row r="31" spans="1:16" s="424" customFormat="1" outlineLevel="1" x14ac:dyDescent="0.25">
      <c r="A31" s="436"/>
      <c r="B31" s="437"/>
      <c r="C31" s="436"/>
      <c r="D31" s="439"/>
      <c r="E31" s="439"/>
      <c r="F31" s="436"/>
      <c r="G31" s="439"/>
      <c r="H31" s="436"/>
      <c r="I31" s="436"/>
      <c r="J31" s="436"/>
      <c r="K31" s="436"/>
      <c r="L31" s="436"/>
      <c r="M31" s="436"/>
      <c r="N31" s="436"/>
      <c r="O31" s="436"/>
      <c r="P31" s="436"/>
    </row>
    <row r="32" spans="1:16" s="424" customFormat="1" outlineLevel="1" x14ac:dyDescent="0.25">
      <c r="A32" s="436"/>
      <c r="B32" s="437"/>
      <c r="C32" s="436"/>
      <c r="D32" s="439"/>
      <c r="E32" s="439"/>
      <c r="F32" s="436"/>
      <c r="G32" s="439"/>
      <c r="H32" s="436"/>
      <c r="I32" s="436"/>
      <c r="J32" s="436"/>
      <c r="K32" s="436"/>
      <c r="L32" s="436"/>
      <c r="M32" s="436"/>
      <c r="N32" s="436"/>
      <c r="O32" s="436"/>
      <c r="P32" s="436"/>
    </row>
    <row r="33" spans="1:16" s="424" customFormat="1" outlineLevel="1" x14ac:dyDescent="0.25">
      <c r="A33" s="436"/>
      <c r="B33" s="449"/>
      <c r="C33" s="450"/>
      <c r="D33" s="451"/>
      <c r="E33" s="509"/>
      <c r="F33" s="436"/>
      <c r="G33" s="439"/>
      <c r="H33" s="436"/>
      <c r="I33" s="436"/>
      <c r="J33" s="436"/>
      <c r="K33" s="436"/>
      <c r="L33" s="436"/>
      <c r="M33" s="436"/>
      <c r="N33" s="436"/>
      <c r="O33" s="436"/>
      <c r="P33" s="436"/>
    </row>
    <row r="34" spans="1:16" s="424" customFormat="1" outlineLevel="1" x14ac:dyDescent="0.25">
      <c r="A34" s="436"/>
      <c r="B34" s="452"/>
      <c r="C34" s="441" t="s">
        <v>18</v>
      </c>
      <c r="D34" s="439"/>
      <c r="E34" s="457"/>
      <c r="F34" s="436"/>
      <c r="G34" s="439"/>
      <c r="H34" s="436"/>
      <c r="I34" s="436"/>
      <c r="J34" s="436"/>
      <c r="K34" s="436"/>
      <c r="L34" s="436"/>
      <c r="M34" s="436"/>
      <c r="N34" s="436"/>
      <c r="O34" s="436"/>
      <c r="P34" s="436"/>
    </row>
    <row r="35" spans="1:16" s="424" customFormat="1" ht="30" outlineLevel="1" x14ac:dyDescent="0.25">
      <c r="A35" s="436"/>
      <c r="B35" s="452"/>
      <c r="C35" s="595" t="s">
        <v>19</v>
      </c>
      <c r="D35" s="567" t="s">
        <v>20</v>
      </c>
      <c r="E35" s="457"/>
      <c r="F35" s="436"/>
      <c r="G35" s="439"/>
      <c r="H35" s="436"/>
      <c r="I35" s="436"/>
      <c r="J35" s="436"/>
      <c r="K35" s="436"/>
      <c r="L35" s="436"/>
      <c r="M35" s="436"/>
      <c r="N35" s="436"/>
      <c r="O35" s="436"/>
      <c r="P35" s="436"/>
    </row>
    <row r="36" spans="1:16" s="424" customFormat="1" outlineLevel="1" x14ac:dyDescent="0.25">
      <c r="A36" s="436"/>
      <c r="B36" s="452"/>
      <c r="C36" s="436" t="s">
        <v>21</v>
      </c>
      <c r="D36" s="439"/>
      <c r="E36" s="457"/>
      <c r="F36" s="436"/>
      <c r="G36" s="439"/>
      <c r="H36" s="436"/>
      <c r="I36" s="436"/>
      <c r="J36" s="436"/>
      <c r="K36" s="436"/>
      <c r="L36" s="436"/>
      <c r="M36" s="436"/>
      <c r="N36" s="436"/>
      <c r="O36" s="436"/>
      <c r="P36" s="436"/>
    </row>
    <row r="37" spans="1:16" s="424" customFormat="1" outlineLevel="1" x14ac:dyDescent="0.25">
      <c r="A37" s="436"/>
      <c r="B37" s="452"/>
      <c r="C37" s="436" t="s">
        <v>22</v>
      </c>
      <c r="D37" s="453"/>
      <c r="E37" s="457"/>
      <c r="F37" s="436"/>
      <c r="G37" s="439"/>
      <c r="H37" s="436"/>
      <c r="I37" s="436"/>
      <c r="J37" s="436"/>
      <c r="K37" s="436"/>
      <c r="L37" s="436"/>
      <c r="M37" s="436"/>
      <c r="N37" s="436"/>
      <c r="O37" s="436"/>
      <c r="P37" s="436"/>
    </row>
    <row r="38" spans="1:16" s="424" customFormat="1" outlineLevel="1" x14ac:dyDescent="0.25">
      <c r="A38" s="436"/>
      <c r="B38" s="452"/>
      <c r="C38" s="436"/>
      <c r="D38" s="453"/>
      <c r="E38" s="457"/>
      <c r="F38" s="436"/>
      <c r="G38" s="439"/>
      <c r="H38" s="436"/>
      <c r="I38" s="436"/>
      <c r="J38" s="436"/>
      <c r="K38" s="436"/>
      <c r="L38" s="436"/>
      <c r="M38" s="436"/>
      <c r="N38" s="436"/>
      <c r="O38" s="436"/>
      <c r="P38" s="436"/>
    </row>
    <row r="39" spans="1:16" s="424" customFormat="1" outlineLevel="1" x14ac:dyDescent="0.25">
      <c r="A39" s="436"/>
      <c r="B39" s="452"/>
      <c r="C39" s="594" t="s">
        <v>23</v>
      </c>
      <c r="D39" s="453"/>
      <c r="E39" s="457"/>
      <c r="F39" s="436"/>
      <c r="G39" s="439"/>
      <c r="H39" s="436"/>
      <c r="I39" s="436"/>
      <c r="J39" s="436"/>
      <c r="K39" s="436"/>
      <c r="L39" s="436"/>
      <c r="M39" s="436"/>
      <c r="N39" s="436"/>
      <c r="O39" s="436"/>
      <c r="P39" s="436"/>
    </row>
    <row r="40" spans="1:16" s="424" customFormat="1" ht="30" outlineLevel="1" x14ac:dyDescent="0.25">
      <c r="A40" s="436"/>
      <c r="B40" s="452"/>
      <c r="C40" s="590" t="s">
        <v>24</v>
      </c>
      <c r="D40" s="591"/>
      <c r="E40" s="457"/>
      <c r="F40" s="436"/>
      <c r="G40" s="439"/>
      <c r="H40" s="436"/>
      <c r="I40" s="436"/>
      <c r="J40" s="436"/>
      <c r="K40" s="436"/>
      <c r="L40" s="436"/>
      <c r="M40" s="436"/>
      <c r="N40" s="436"/>
      <c r="O40" s="436"/>
      <c r="P40" s="436"/>
    </row>
    <row r="41" spans="1:16" s="424" customFormat="1" outlineLevel="1" x14ac:dyDescent="0.25">
      <c r="A41" s="436"/>
      <c r="B41" s="452"/>
      <c r="C41" s="436" t="str">
        <f>'3-Valuation Multiples'!C76</f>
        <v>Using EV/EBITDA Multiple for EV (th€)</v>
      </c>
      <c r="D41" s="453"/>
      <c r="E41" s="457"/>
      <c r="F41" s="436"/>
      <c r="G41" s="439"/>
      <c r="H41" s="436"/>
      <c r="I41" s="436"/>
      <c r="J41" s="436"/>
      <c r="K41" s="436"/>
      <c r="L41" s="436"/>
      <c r="M41" s="436"/>
      <c r="N41" s="436"/>
      <c r="O41" s="436"/>
      <c r="P41" s="436"/>
    </row>
    <row r="42" spans="1:16" s="424" customFormat="1" outlineLevel="1" x14ac:dyDescent="0.25">
      <c r="A42" s="436"/>
      <c r="B42" s="452"/>
      <c r="C42" s="436" t="str">
        <f>'3-Valuation Multiples'!C77</f>
        <v>Using EV/EBIT Multiple for EV (th€)</v>
      </c>
      <c r="D42" s="453"/>
      <c r="E42" s="457"/>
      <c r="F42" s="436"/>
      <c r="G42" s="439"/>
      <c r="H42" s="436"/>
      <c r="I42" s="436"/>
      <c r="J42" s="436"/>
      <c r="K42" s="436"/>
      <c r="L42" s="436"/>
      <c r="M42" s="436"/>
      <c r="N42" s="436"/>
      <c r="O42" s="436"/>
      <c r="P42" s="436"/>
    </row>
    <row r="43" spans="1:16" s="424" customFormat="1" outlineLevel="1" x14ac:dyDescent="0.25">
      <c r="A43" s="436"/>
      <c r="B43" s="452"/>
      <c r="C43" s="436" t="str">
        <f>'3-Valuation Multiples'!C78</f>
        <v>Using EV/Sales Multiple for EV (th€)</v>
      </c>
      <c r="D43" s="453"/>
      <c r="E43" s="457"/>
      <c r="F43" s="436"/>
      <c r="G43" s="439"/>
      <c r="H43" s="436"/>
      <c r="I43" s="436"/>
      <c r="J43" s="436"/>
      <c r="K43" s="436"/>
      <c r="L43" s="436"/>
      <c r="M43" s="436"/>
      <c r="N43" s="436"/>
      <c r="O43" s="436"/>
      <c r="P43" s="436"/>
    </row>
    <row r="44" spans="1:16" s="424" customFormat="1" outlineLevel="1" x14ac:dyDescent="0.25">
      <c r="A44" s="436"/>
      <c r="B44" s="452"/>
      <c r="C44" s="436"/>
      <c r="D44" s="453"/>
      <c r="E44" s="457"/>
      <c r="F44" s="436"/>
      <c r="G44" s="439"/>
      <c r="H44" s="436"/>
      <c r="I44" s="436"/>
      <c r="J44" s="436"/>
      <c r="K44" s="436"/>
      <c r="L44" s="436"/>
      <c r="M44" s="436"/>
      <c r="N44" s="436"/>
      <c r="O44" s="436"/>
      <c r="P44" s="436"/>
    </row>
    <row r="45" spans="1:16" s="424" customFormat="1" outlineLevel="1" x14ac:dyDescent="0.25">
      <c r="A45" s="436"/>
      <c r="B45" s="452"/>
      <c r="C45" s="594" t="s">
        <v>25</v>
      </c>
      <c r="D45" s="453"/>
      <c r="E45" s="457"/>
      <c r="F45" s="436"/>
      <c r="G45" s="439"/>
      <c r="H45" s="436"/>
      <c r="I45" s="436"/>
      <c r="J45" s="436"/>
      <c r="K45" s="436"/>
      <c r="L45" s="436"/>
      <c r="M45" s="436"/>
      <c r="N45" s="436"/>
      <c r="O45" s="436"/>
      <c r="P45" s="436"/>
    </row>
    <row r="46" spans="1:16" s="424" customFormat="1" outlineLevel="1" x14ac:dyDescent="0.25">
      <c r="A46" s="436"/>
      <c r="B46" s="452"/>
      <c r="C46" s="436" t="str">
        <f>'3-Valuation Multiples'!D126</f>
        <v>Using PE</v>
      </c>
      <c r="D46" s="453"/>
      <c r="E46" s="457"/>
      <c r="F46" s="436"/>
      <c r="G46" s="439"/>
      <c r="H46" s="436"/>
      <c r="I46" s="436"/>
      <c r="J46" s="436"/>
      <c r="K46" s="436"/>
      <c r="L46" s="436"/>
      <c r="M46" s="436"/>
      <c r="N46" s="436"/>
      <c r="O46" s="436"/>
      <c r="P46" s="436"/>
    </row>
    <row r="47" spans="1:16" s="424" customFormat="1" outlineLevel="1" x14ac:dyDescent="0.25">
      <c r="A47" s="436"/>
      <c r="B47" s="452"/>
      <c r="C47" s="436" t="str">
        <f>'3-Valuation Multiples'!D127</f>
        <v>Using P/BV</v>
      </c>
      <c r="D47" s="453"/>
      <c r="E47" s="457"/>
      <c r="F47" s="436"/>
      <c r="G47" s="439"/>
      <c r="H47" s="436"/>
      <c r="I47" s="436"/>
      <c r="J47" s="436"/>
      <c r="K47" s="436"/>
      <c r="L47" s="436"/>
      <c r="M47" s="436"/>
      <c r="N47" s="436"/>
      <c r="O47" s="436"/>
      <c r="P47" s="436"/>
    </row>
    <row r="48" spans="1:16" s="424" customFormat="1" outlineLevel="1" x14ac:dyDescent="0.25">
      <c r="A48" s="436"/>
      <c r="B48" s="452"/>
      <c r="C48" s="436" t="str">
        <f>'3-Valuation Multiples'!D128</f>
        <v>Using EV/Sales</v>
      </c>
      <c r="D48" s="453"/>
      <c r="E48" s="457"/>
      <c r="F48" s="436"/>
      <c r="G48" s="439"/>
      <c r="H48" s="436"/>
      <c r="I48" s="436"/>
      <c r="J48" s="436"/>
      <c r="K48" s="436"/>
      <c r="L48" s="436"/>
      <c r="M48" s="436"/>
      <c r="N48" s="436"/>
      <c r="O48" s="436"/>
      <c r="P48" s="436"/>
    </row>
    <row r="49" spans="1:16" s="424" customFormat="1" outlineLevel="1" x14ac:dyDescent="0.25">
      <c r="A49" s="436"/>
      <c r="B49" s="452"/>
      <c r="C49" s="436" t="str">
        <f>'3-Valuation Multiples'!D129</f>
        <v>Using EV/EBITDA</v>
      </c>
      <c r="D49" s="453"/>
      <c r="E49" s="457"/>
      <c r="F49" s="436"/>
      <c r="G49" s="439"/>
      <c r="H49" s="436"/>
      <c r="I49" s="436"/>
      <c r="J49" s="436"/>
      <c r="K49" s="436"/>
      <c r="L49" s="436"/>
      <c r="M49" s="436"/>
      <c r="N49" s="436"/>
      <c r="O49" s="436"/>
      <c r="P49" s="436"/>
    </row>
    <row r="50" spans="1:16" s="424" customFormat="1" outlineLevel="1" x14ac:dyDescent="0.25">
      <c r="A50" s="436"/>
      <c r="B50" s="452"/>
      <c r="C50" s="436" t="str">
        <f>'3-Valuation Multiples'!D130</f>
        <v>Using EV/EBIT</v>
      </c>
      <c r="D50" s="453"/>
      <c r="E50" s="457"/>
      <c r="F50" s="436"/>
      <c r="G50" s="439"/>
      <c r="H50" s="436"/>
      <c r="I50" s="436"/>
      <c r="J50" s="436"/>
      <c r="K50" s="436"/>
      <c r="L50" s="436"/>
      <c r="M50" s="436"/>
      <c r="N50" s="436"/>
      <c r="O50" s="436"/>
      <c r="P50" s="436"/>
    </row>
    <row r="51" spans="1:16" s="424" customFormat="1" outlineLevel="1" x14ac:dyDescent="0.25">
      <c r="A51" s="436"/>
      <c r="B51" s="454"/>
      <c r="C51" s="455"/>
      <c r="D51" s="456"/>
      <c r="E51" s="510"/>
      <c r="F51" s="436"/>
      <c r="G51" s="439"/>
      <c r="H51" s="436"/>
      <c r="I51" s="436"/>
      <c r="J51" s="436"/>
      <c r="K51" s="436"/>
      <c r="L51" s="436"/>
      <c r="M51" s="436"/>
      <c r="N51" s="436"/>
      <c r="O51" s="436"/>
      <c r="P51" s="436"/>
    </row>
    <row r="52" spans="1:16" s="424" customFormat="1" outlineLevel="1" x14ac:dyDescent="0.25">
      <c r="A52" s="436"/>
      <c r="B52" s="437"/>
      <c r="C52" s="436"/>
      <c r="D52" s="439"/>
      <c r="E52" s="439"/>
      <c r="F52" s="436"/>
      <c r="G52" s="439"/>
      <c r="H52" s="436"/>
      <c r="I52" s="436"/>
      <c r="J52" s="436"/>
      <c r="K52" s="436"/>
      <c r="L52" s="436"/>
      <c r="M52" s="436"/>
      <c r="N52" s="436"/>
      <c r="O52" s="436"/>
      <c r="P52" s="436"/>
    </row>
    <row r="53" spans="1:16" s="700" customFormat="1" outlineLevel="1" x14ac:dyDescent="0.25">
      <c r="A53" s="697"/>
      <c r="B53" s="698"/>
      <c r="C53" s="697"/>
      <c r="D53" s="699"/>
      <c r="E53" s="699"/>
      <c r="F53" s="697"/>
      <c r="G53" s="699"/>
      <c r="H53" s="697"/>
      <c r="I53" s="697"/>
      <c r="J53" s="697"/>
      <c r="K53" s="697"/>
      <c r="L53" s="697"/>
      <c r="M53" s="697"/>
      <c r="N53" s="697"/>
      <c r="O53" s="697"/>
      <c r="P53" s="697"/>
    </row>
    <row r="54" spans="1:16" s="700" customFormat="1" outlineLevel="1" x14ac:dyDescent="0.25">
      <c r="A54" s="697"/>
      <c r="B54" s="698"/>
      <c r="C54" s="701"/>
      <c r="D54" s="699"/>
      <c r="E54" s="699"/>
      <c r="F54" s="697"/>
      <c r="G54" s="699"/>
      <c r="H54" s="697"/>
      <c r="I54" s="697"/>
      <c r="J54" s="697"/>
      <c r="K54" s="697"/>
      <c r="L54" s="697"/>
      <c r="M54" s="697"/>
      <c r="N54" s="697"/>
      <c r="O54" s="697"/>
      <c r="P54" s="697"/>
    </row>
    <row r="55" spans="1:16" s="700" customFormat="1" outlineLevel="1" x14ac:dyDescent="0.25">
      <c r="A55" s="697"/>
      <c r="B55" s="698"/>
      <c r="C55" s="702"/>
      <c r="D55" s="703"/>
      <c r="E55" s="699"/>
      <c r="F55" s="697"/>
      <c r="G55" s="699"/>
      <c r="H55" s="697"/>
      <c r="I55" s="697"/>
      <c r="J55" s="697"/>
      <c r="K55" s="697"/>
      <c r="L55" s="697"/>
      <c r="M55" s="697"/>
      <c r="N55" s="697"/>
      <c r="O55" s="697"/>
      <c r="P55" s="697"/>
    </row>
    <row r="56" spans="1:16" s="700" customFormat="1" outlineLevel="1" x14ac:dyDescent="0.25">
      <c r="A56" s="697"/>
      <c r="B56" s="698"/>
      <c r="C56" s="702"/>
      <c r="D56" s="704"/>
      <c r="E56" s="699"/>
      <c r="F56" s="697"/>
      <c r="G56" s="699"/>
      <c r="H56" s="697"/>
      <c r="I56" s="697"/>
      <c r="J56" s="697"/>
      <c r="K56" s="697"/>
      <c r="L56" s="697"/>
      <c r="M56" s="697"/>
      <c r="N56" s="697"/>
      <c r="O56" s="697"/>
      <c r="P56" s="697"/>
    </row>
    <row r="57" spans="1:16" s="700" customFormat="1" outlineLevel="1" x14ac:dyDescent="0.25">
      <c r="A57" s="697"/>
      <c r="B57" s="698"/>
      <c r="C57" s="697"/>
      <c r="D57" s="699"/>
      <c r="E57" s="699"/>
      <c r="F57" s="699"/>
      <c r="G57" s="699"/>
      <c r="H57" s="697"/>
      <c r="I57" s="697"/>
      <c r="J57" s="697"/>
      <c r="K57" s="697"/>
      <c r="L57" s="697"/>
      <c r="M57" s="697"/>
      <c r="N57" s="697"/>
      <c r="O57" s="697"/>
      <c r="P57" s="697"/>
    </row>
    <row r="58" spans="1:16" s="700" customFormat="1" outlineLevel="1" x14ac:dyDescent="0.25">
      <c r="A58" s="697"/>
      <c r="B58" s="698"/>
      <c r="C58" s="697"/>
      <c r="D58" s="699"/>
      <c r="E58" s="699"/>
      <c r="F58" s="699"/>
      <c r="G58" s="699"/>
      <c r="H58" s="697"/>
      <c r="I58" s="697"/>
      <c r="J58" s="697"/>
      <c r="K58" s="697"/>
      <c r="L58" s="697"/>
      <c r="M58" s="697"/>
      <c r="N58" s="697"/>
      <c r="O58" s="697"/>
      <c r="P58" s="697"/>
    </row>
    <row r="59" spans="1:16" s="700" customFormat="1" outlineLevel="1" x14ac:dyDescent="0.25">
      <c r="A59" s="697"/>
      <c r="B59" s="698"/>
      <c r="C59" s="702"/>
      <c r="D59" s="704"/>
      <c r="E59" s="699"/>
      <c r="F59" s="697"/>
      <c r="G59" s="699"/>
      <c r="H59" s="697"/>
      <c r="I59" s="697"/>
      <c r="J59" s="697"/>
      <c r="K59" s="697"/>
      <c r="L59" s="697"/>
      <c r="M59" s="697"/>
      <c r="N59" s="697"/>
      <c r="O59" s="697"/>
      <c r="P59" s="697"/>
    </row>
    <row r="60" spans="1:16" s="700" customFormat="1" outlineLevel="1" x14ac:dyDescent="0.25">
      <c r="A60" s="697"/>
      <c r="B60" s="698"/>
      <c r="C60" s="702"/>
      <c r="D60" s="704"/>
      <c r="E60" s="699"/>
      <c r="F60" s="697"/>
      <c r="G60" s="699"/>
      <c r="H60" s="697"/>
      <c r="I60" s="697"/>
      <c r="J60" s="697"/>
      <c r="K60" s="697"/>
      <c r="L60" s="697"/>
      <c r="M60" s="697"/>
      <c r="N60" s="697"/>
      <c r="O60" s="697"/>
      <c r="P60" s="697"/>
    </row>
    <row r="61" spans="1:16" s="700" customFormat="1" outlineLevel="1" x14ac:dyDescent="0.25">
      <c r="A61" s="697"/>
      <c r="B61" s="698"/>
      <c r="C61" s="705"/>
      <c r="D61" s="704"/>
      <c r="E61" s="699"/>
      <c r="F61" s="697"/>
      <c r="G61" s="699"/>
      <c r="H61" s="697"/>
      <c r="I61" s="697"/>
      <c r="J61" s="697"/>
      <c r="K61" s="697"/>
      <c r="L61" s="697"/>
      <c r="M61" s="697"/>
      <c r="N61" s="697"/>
      <c r="O61" s="697"/>
      <c r="P61" s="697"/>
    </row>
    <row r="62" spans="1:16" s="700" customFormat="1" outlineLevel="1" x14ac:dyDescent="0.25">
      <c r="A62" s="697"/>
      <c r="B62" s="698"/>
      <c r="C62" s="702"/>
      <c r="D62" s="706"/>
      <c r="E62" s="699"/>
      <c r="F62" s="697"/>
      <c r="G62" s="699"/>
      <c r="H62" s="697"/>
      <c r="I62" s="697"/>
      <c r="J62" s="697"/>
      <c r="K62" s="697"/>
      <c r="L62" s="697"/>
      <c r="M62" s="697"/>
      <c r="N62" s="697"/>
      <c r="O62" s="697"/>
      <c r="P62" s="697"/>
    </row>
    <row r="63" spans="1:16" s="700" customFormat="1" outlineLevel="1" x14ac:dyDescent="0.25">
      <c r="A63" s="697"/>
      <c r="B63" s="698"/>
      <c r="C63" s="702"/>
      <c r="D63" s="706"/>
      <c r="E63" s="699"/>
      <c r="F63" s="697"/>
      <c r="G63" s="699"/>
      <c r="H63" s="697"/>
      <c r="I63" s="697"/>
      <c r="J63" s="697"/>
      <c r="K63" s="697"/>
      <c r="L63" s="697"/>
      <c r="M63" s="697"/>
      <c r="N63" s="697"/>
      <c r="O63" s="697"/>
      <c r="P63" s="697"/>
    </row>
    <row r="64" spans="1:16" s="700" customFormat="1" outlineLevel="1" x14ac:dyDescent="0.25">
      <c r="A64" s="697"/>
      <c r="B64" s="698"/>
      <c r="C64" s="702"/>
      <c r="D64" s="529"/>
      <c r="E64" s="699"/>
      <c r="F64" s="697"/>
      <c r="G64" s="699"/>
      <c r="H64" s="697"/>
      <c r="I64" s="697"/>
      <c r="J64" s="697"/>
      <c r="K64" s="697"/>
      <c r="L64" s="697"/>
      <c r="M64" s="697"/>
      <c r="N64" s="697"/>
      <c r="O64" s="697"/>
      <c r="P64" s="697"/>
    </row>
    <row r="65" spans="1:98" s="700" customFormat="1" outlineLevel="1" x14ac:dyDescent="0.25">
      <c r="A65" s="697"/>
      <c r="B65" s="698"/>
      <c r="C65" s="705"/>
      <c r="D65" s="529"/>
      <c r="E65" s="699"/>
      <c r="F65" s="697"/>
      <c r="G65" s="699"/>
      <c r="H65" s="697"/>
      <c r="I65" s="697"/>
      <c r="J65" s="697"/>
      <c r="K65" s="697"/>
      <c r="L65" s="697"/>
      <c r="M65" s="697"/>
      <c r="N65" s="697"/>
      <c r="O65" s="697"/>
      <c r="P65" s="697"/>
      <c r="Q65" s="707"/>
      <c r="R65" s="707"/>
      <c r="S65" s="707"/>
      <c r="T65" s="707"/>
      <c r="U65" s="707"/>
      <c r="V65" s="707"/>
      <c r="W65" s="707"/>
      <c r="X65" s="707"/>
      <c r="Y65" s="707"/>
      <c r="Z65" s="707"/>
      <c r="AA65" s="707"/>
      <c r="AB65" s="707"/>
      <c r="AC65" s="707"/>
      <c r="AD65" s="707"/>
      <c r="AE65" s="707"/>
      <c r="AF65" s="707"/>
      <c r="AG65" s="707"/>
      <c r="AH65" s="707"/>
      <c r="AI65" s="707"/>
      <c r="AJ65" s="707"/>
      <c r="AK65" s="707"/>
      <c r="AL65" s="707"/>
      <c r="AM65" s="707"/>
      <c r="AN65" s="707"/>
      <c r="AO65" s="707"/>
      <c r="AP65" s="707"/>
      <c r="AQ65" s="707"/>
      <c r="AR65" s="707"/>
      <c r="AS65" s="707"/>
      <c r="AT65" s="707"/>
      <c r="AU65" s="707"/>
      <c r="AV65" s="707"/>
      <c r="AW65" s="707"/>
      <c r="AX65" s="707"/>
      <c r="AY65" s="707"/>
      <c r="AZ65" s="707"/>
      <c r="BA65" s="707"/>
      <c r="BB65" s="707"/>
      <c r="BC65" s="707"/>
      <c r="BD65" s="707"/>
      <c r="BE65" s="707"/>
      <c r="BF65" s="707"/>
      <c r="BG65" s="707"/>
      <c r="BH65" s="707"/>
      <c r="BI65" s="707"/>
      <c r="BJ65" s="707"/>
      <c r="BK65" s="707"/>
      <c r="BL65" s="707"/>
      <c r="BM65" s="707"/>
      <c r="BN65" s="707"/>
      <c r="BO65" s="707"/>
      <c r="BP65" s="707"/>
      <c r="BQ65" s="707"/>
      <c r="BR65" s="707"/>
      <c r="BS65" s="707"/>
      <c r="BT65" s="707"/>
      <c r="BU65" s="707"/>
      <c r="BV65" s="707"/>
      <c r="BW65" s="707"/>
      <c r="BX65" s="707"/>
      <c r="BY65" s="707"/>
      <c r="BZ65" s="707"/>
      <c r="CA65" s="707"/>
      <c r="CB65" s="707"/>
      <c r="CC65" s="707"/>
      <c r="CD65" s="707"/>
      <c r="CE65" s="707"/>
      <c r="CF65" s="707"/>
      <c r="CG65" s="707"/>
      <c r="CH65" s="707"/>
      <c r="CI65" s="707"/>
      <c r="CJ65" s="707"/>
      <c r="CK65" s="707"/>
      <c r="CL65" s="707"/>
      <c r="CM65" s="707"/>
      <c r="CN65" s="707"/>
      <c r="CO65" s="707"/>
      <c r="CP65" s="707"/>
      <c r="CQ65" s="707"/>
      <c r="CR65" s="707"/>
      <c r="CS65" s="707"/>
      <c r="CT65" s="707"/>
    </row>
    <row r="66" spans="1:98" s="700" customFormat="1" outlineLevel="1" x14ac:dyDescent="0.25">
      <c r="A66" s="697"/>
      <c r="B66" s="698"/>
      <c r="C66" s="702"/>
      <c r="D66" s="692"/>
      <c r="E66" s="699"/>
      <c r="F66" s="697"/>
      <c r="G66" s="699"/>
      <c r="H66" s="697"/>
      <c r="I66" s="697"/>
      <c r="J66" s="697"/>
      <c r="K66" s="697"/>
      <c r="L66" s="697"/>
      <c r="M66" s="697"/>
      <c r="N66" s="697"/>
      <c r="O66" s="697"/>
      <c r="P66" s="697"/>
      <c r="Q66" s="707"/>
      <c r="R66" s="707"/>
      <c r="S66" s="707"/>
      <c r="T66" s="707"/>
      <c r="U66" s="707"/>
      <c r="V66" s="707"/>
      <c r="W66" s="707"/>
      <c r="X66" s="707"/>
      <c r="Y66" s="707"/>
      <c r="Z66" s="707"/>
      <c r="AA66" s="707"/>
      <c r="AB66" s="707"/>
      <c r="AC66" s="707"/>
      <c r="AD66" s="707"/>
      <c r="AE66" s="707"/>
      <c r="AF66" s="707"/>
      <c r="AG66" s="707"/>
      <c r="AH66" s="707"/>
      <c r="AI66" s="707"/>
      <c r="AJ66" s="707"/>
      <c r="AK66" s="707"/>
      <c r="AL66" s="707"/>
      <c r="AM66" s="707"/>
      <c r="AN66" s="707"/>
      <c r="AO66" s="707"/>
      <c r="AP66" s="707"/>
      <c r="AQ66" s="707"/>
      <c r="AR66" s="707"/>
      <c r="AS66" s="707"/>
      <c r="AT66" s="707"/>
      <c r="AU66" s="707"/>
      <c r="AV66" s="707"/>
      <c r="AW66" s="707"/>
      <c r="AX66" s="707"/>
      <c r="AY66" s="707"/>
      <c r="AZ66" s="707"/>
      <c r="BA66" s="707"/>
      <c r="BB66" s="707"/>
      <c r="BC66" s="707"/>
      <c r="BD66" s="707"/>
      <c r="BE66" s="707"/>
      <c r="BF66" s="707"/>
      <c r="BG66" s="707"/>
      <c r="BH66" s="707"/>
      <c r="BI66" s="707"/>
      <c r="BJ66" s="707"/>
      <c r="BK66" s="707"/>
      <c r="BL66" s="707"/>
      <c r="BM66" s="707"/>
      <c r="BN66" s="707"/>
      <c r="BO66" s="707"/>
      <c r="BP66" s="707"/>
      <c r="BQ66" s="707"/>
      <c r="BR66" s="707"/>
      <c r="BS66" s="707"/>
      <c r="BT66" s="707"/>
      <c r="BU66" s="707"/>
      <c r="BV66" s="707"/>
      <c r="BW66" s="707"/>
      <c r="BX66" s="707"/>
      <c r="BY66" s="707"/>
      <c r="BZ66" s="707"/>
      <c r="CA66" s="707"/>
      <c r="CB66" s="707"/>
      <c r="CC66" s="707"/>
      <c r="CD66" s="707"/>
      <c r="CE66" s="707"/>
      <c r="CF66" s="707"/>
      <c r="CG66" s="707"/>
      <c r="CH66" s="707"/>
      <c r="CI66" s="707"/>
      <c r="CJ66" s="707"/>
      <c r="CK66" s="707"/>
      <c r="CL66" s="707"/>
      <c r="CM66" s="707"/>
      <c r="CN66" s="707"/>
      <c r="CO66" s="707"/>
      <c r="CP66" s="707"/>
      <c r="CQ66" s="707"/>
      <c r="CR66" s="707"/>
      <c r="CS66" s="707"/>
      <c r="CT66" s="707"/>
    </row>
    <row r="67" spans="1:98" s="700" customFormat="1" outlineLevel="1" x14ac:dyDescent="0.25">
      <c r="A67" s="697"/>
      <c r="B67" s="698"/>
      <c r="C67" s="702"/>
      <c r="D67" s="692"/>
      <c r="E67" s="699"/>
      <c r="F67" s="697"/>
      <c r="G67" s="699"/>
      <c r="H67" s="697"/>
      <c r="I67" s="697"/>
      <c r="J67" s="697"/>
      <c r="K67" s="697"/>
      <c r="L67" s="697"/>
      <c r="M67" s="697"/>
      <c r="N67" s="697"/>
      <c r="O67" s="697"/>
      <c r="P67" s="697"/>
      <c r="Q67" s="707"/>
      <c r="R67" s="707"/>
      <c r="S67" s="707"/>
      <c r="T67" s="707"/>
      <c r="U67" s="707"/>
      <c r="V67" s="707"/>
      <c r="W67" s="707"/>
      <c r="X67" s="707"/>
      <c r="Y67" s="707"/>
      <c r="Z67" s="707"/>
      <c r="AA67" s="707"/>
      <c r="AB67" s="707"/>
      <c r="AC67" s="707"/>
      <c r="AD67" s="707"/>
      <c r="AE67" s="707"/>
      <c r="AF67" s="707"/>
      <c r="AG67" s="707"/>
      <c r="AH67" s="707"/>
      <c r="AI67" s="707"/>
      <c r="AJ67" s="707"/>
      <c r="AK67" s="707"/>
      <c r="AL67" s="707"/>
      <c r="AM67" s="707"/>
      <c r="AN67" s="707"/>
      <c r="AO67" s="707"/>
      <c r="AP67" s="707"/>
      <c r="AQ67" s="707"/>
      <c r="AR67" s="707"/>
      <c r="AS67" s="707"/>
      <c r="AT67" s="707"/>
      <c r="AU67" s="707"/>
      <c r="AV67" s="707"/>
      <c r="AW67" s="707"/>
      <c r="AX67" s="707"/>
      <c r="AY67" s="707"/>
      <c r="AZ67" s="707"/>
      <c r="BA67" s="707"/>
      <c r="BB67" s="707"/>
      <c r="BC67" s="707"/>
      <c r="BD67" s="707"/>
      <c r="BE67" s="707"/>
      <c r="BF67" s="707"/>
      <c r="BG67" s="707"/>
      <c r="BH67" s="707"/>
      <c r="BI67" s="707"/>
      <c r="BJ67" s="707"/>
      <c r="BK67" s="707"/>
      <c r="BL67" s="707"/>
      <c r="BM67" s="707"/>
      <c r="BN67" s="707"/>
      <c r="BO67" s="707"/>
      <c r="BP67" s="707"/>
      <c r="BQ67" s="707"/>
      <c r="BR67" s="707"/>
      <c r="BS67" s="707"/>
      <c r="BT67" s="707"/>
      <c r="BU67" s="707"/>
      <c r="BV67" s="707"/>
      <c r="BW67" s="707"/>
      <c r="BX67" s="707"/>
      <c r="BY67" s="707"/>
      <c r="BZ67" s="707"/>
      <c r="CA67" s="707"/>
      <c r="CB67" s="707"/>
      <c r="CC67" s="707"/>
      <c r="CD67" s="707"/>
      <c r="CE67" s="707"/>
      <c r="CF67" s="707"/>
      <c r="CG67" s="707"/>
      <c r="CH67" s="707"/>
      <c r="CI67" s="707"/>
      <c r="CJ67" s="707"/>
      <c r="CK67" s="707"/>
      <c r="CL67" s="707"/>
      <c r="CM67" s="707"/>
      <c r="CN67" s="707"/>
      <c r="CO67" s="707"/>
      <c r="CP67" s="707"/>
      <c r="CQ67" s="707"/>
      <c r="CR67" s="707"/>
      <c r="CS67" s="707"/>
      <c r="CT67" s="707"/>
    </row>
    <row r="68" spans="1:98" s="700" customFormat="1" outlineLevel="1" x14ac:dyDescent="0.25">
      <c r="A68" s="697"/>
      <c r="B68" s="698"/>
      <c r="C68" s="697"/>
      <c r="D68" s="699"/>
      <c r="E68" s="699"/>
      <c r="F68" s="697"/>
      <c r="G68" s="699"/>
      <c r="H68" s="697"/>
      <c r="I68" s="697"/>
      <c r="J68" s="697"/>
      <c r="K68" s="697"/>
      <c r="L68" s="697"/>
      <c r="M68" s="697"/>
      <c r="N68" s="697"/>
      <c r="O68" s="697"/>
      <c r="P68" s="697"/>
      <c r="Q68" s="707"/>
      <c r="R68" s="707"/>
      <c r="S68" s="707"/>
      <c r="T68" s="707"/>
      <c r="U68" s="707"/>
      <c r="V68" s="707"/>
      <c r="W68" s="707"/>
      <c r="X68" s="707"/>
      <c r="Y68" s="707"/>
      <c r="Z68" s="707"/>
      <c r="AA68" s="707"/>
      <c r="AB68" s="707"/>
      <c r="AC68" s="707"/>
      <c r="AD68" s="707"/>
      <c r="AE68" s="707"/>
      <c r="AF68" s="707"/>
      <c r="AG68" s="707"/>
      <c r="AH68" s="707"/>
      <c r="AI68" s="707"/>
      <c r="AJ68" s="707"/>
      <c r="AK68" s="707"/>
      <c r="AL68" s="707"/>
      <c r="AM68" s="707"/>
      <c r="AN68" s="707"/>
      <c r="AO68" s="707"/>
      <c r="AP68" s="707"/>
      <c r="AQ68" s="707"/>
      <c r="AR68" s="707"/>
      <c r="AS68" s="707"/>
      <c r="AT68" s="707"/>
      <c r="AU68" s="707"/>
      <c r="AV68" s="707"/>
      <c r="AW68" s="707"/>
      <c r="AX68" s="707"/>
      <c r="AY68" s="707"/>
      <c r="AZ68" s="707"/>
      <c r="BA68" s="707"/>
      <c r="BB68" s="707"/>
      <c r="BC68" s="707"/>
      <c r="BD68" s="707"/>
      <c r="BE68" s="707"/>
      <c r="BF68" s="707"/>
      <c r="BG68" s="707"/>
      <c r="BH68" s="707"/>
      <c r="BI68" s="707"/>
      <c r="BJ68" s="707"/>
      <c r="BK68" s="707"/>
      <c r="BL68" s="707"/>
      <c r="BM68" s="707"/>
      <c r="BN68" s="707"/>
      <c r="BO68" s="707"/>
      <c r="BP68" s="707"/>
      <c r="BQ68" s="707"/>
      <c r="BR68" s="707"/>
      <c r="BS68" s="707"/>
      <c r="BT68" s="707"/>
      <c r="BU68" s="707"/>
      <c r="BV68" s="707"/>
      <c r="BW68" s="707"/>
      <c r="BX68" s="707"/>
      <c r="BY68" s="707"/>
      <c r="BZ68" s="707"/>
      <c r="CA68" s="707"/>
      <c r="CB68" s="707"/>
      <c r="CC68" s="707"/>
      <c r="CD68" s="707"/>
      <c r="CE68" s="707"/>
      <c r="CF68" s="707"/>
      <c r="CG68" s="707"/>
      <c r="CH68" s="707"/>
      <c r="CI68" s="707"/>
      <c r="CJ68" s="707"/>
      <c r="CK68" s="707"/>
      <c r="CL68" s="707"/>
      <c r="CM68" s="707"/>
      <c r="CN68" s="707"/>
      <c r="CO68" s="707"/>
      <c r="CP68" s="707"/>
      <c r="CQ68" s="707"/>
      <c r="CR68" s="707"/>
      <c r="CS68" s="707"/>
      <c r="CT68" s="707"/>
    </row>
    <row r="69" spans="1:98" s="424" customFormat="1" x14ac:dyDescent="0.25">
      <c r="A69" s="436"/>
      <c r="B69" s="437"/>
      <c r="C69" s="436"/>
      <c r="D69" s="436"/>
      <c r="E69" s="439"/>
      <c r="F69" s="436"/>
      <c r="G69" s="439"/>
      <c r="H69" s="436"/>
      <c r="I69" s="436"/>
      <c r="J69" s="436"/>
      <c r="K69" s="436"/>
      <c r="L69" s="436"/>
      <c r="M69" s="436"/>
      <c r="N69" s="436"/>
      <c r="O69" s="436"/>
      <c r="P69" s="436"/>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c r="BJ69" s="638"/>
      <c r="BK69" s="638"/>
      <c r="BL69" s="638"/>
      <c r="BM69" s="638"/>
      <c r="BN69" s="638"/>
      <c r="BO69" s="638"/>
      <c r="BP69" s="638"/>
      <c r="BQ69" s="638"/>
      <c r="BR69" s="638"/>
      <c r="BS69" s="638"/>
      <c r="BT69" s="638"/>
      <c r="BU69" s="638"/>
      <c r="BV69" s="638"/>
      <c r="BW69" s="638"/>
      <c r="BX69" s="638"/>
      <c r="BY69" s="638"/>
      <c r="BZ69" s="638"/>
      <c r="CA69" s="638"/>
      <c r="CB69" s="638"/>
      <c r="CC69" s="638"/>
      <c r="CD69" s="638"/>
      <c r="CE69" s="638"/>
      <c r="CF69" s="638"/>
      <c r="CG69" s="638"/>
      <c r="CH69" s="638"/>
      <c r="CI69" s="638"/>
      <c r="CJ69" s="638"/>
      <c r="CK69" s="638"/>
      <c r="CL69" s="638"/>
      <c r="CM69" s="638"/>
      <c r="CN69" s="638"/>
      <c r="CO69" s="638"/>
      <c r="CP69" s="638"/>
      <c r="CQ69" s="638"/>
      <c r="CR69" s="638"/>
      <c r="CS69" s="638"/>
      <c r="CT69" s="638"/>
    </row>
    <row r="70" spans="1:98" x14ac:dyDescent="0.25">
      <c r="A70" s="427"/>
      <c r="B70" s="428">
        <f>B30+1</f>
        <v>3</v>
      </c>
      <c r="C70" s="429" t="s">
        <v>27</v>
      </c>
      <c r="D70" s="430"/>
      <c r="E70" s="430"/>
      <c r="F70" s="431"/>
      <c r="G70" s="430"/>
      <c r="H70" s="431"/>
      <c r="I70" s="431"/>
      <c r="J70" s="431"/>
      <c r="K70" s="431"/>
      <c r="L70" s="431"/>
      <c r="M70" s="431"/>
      <c r="N70" s="431"/>
      <c r="O70" s="427"/>
      <c r="P70" s="427"/>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c r="BJ70" s="638"/>
      <c r="BK70" s="638"/>
      <c r="BL70" s="638"/>
      <c r="BM70" s="638"/>
      <c r="BN70" s="638"/>
      <c r="BO70" s="638"/>
      <c r="BP70" s="638"/>
      <c r="BQ70" s="638"/>
      <c r="BR70" s="638"/>
      <c r="BS70" s="638"/>
      <c r="BT70" s="638"/>
      <c r="BU70" s="638"/>
      <c r="BV70" s="638"/>
      <c r="BW70" s="638"/>
      <c r="BX70" s="638"/>
      <c r="BY70" s="638"/>
      <c r="BZ70" s="638"/>
      <c r="CA70" s="638"/>
      <c r="CB70" s="638"/>
      <c r="CC70" s="638"/>
      <c r="CD70" s="638"/>
      <c r="CE70" s="638"/>
      <c r="CF70" s="638"/>
      <c r="CG70" s="638"/>
      <c r="CH70" s="638"/>
      <c r="CI70" s="638"/>
      <c r="CJ70" s="638"/>
      <c r="CK70" s="638"/>
      <c r="CL70" s="638"/>
      <c r="CM70" s="638"/>
      <c r="CN70" s="638"/>
      <c r="CO70" s="638"/>
      <c r="CP70" s="638"/>
      <c r="CQ70" s="638"/>
      <c r="CR70" s="638"/>
      <c r="CS70" s="638"/>
      <c r="CT70" s="638"/>
    </row>
    <row r="71" spans="1:98" s="424" customFormat="1" outlineLevel="1" x14ac:dyDescent="0.25">
      <c r="A71" s="638"/>
      <c r="B71" s="646"/>
      <c r="C71" s="638"/>
      <c r="D71" s="647"/>
      <c r="E71" s="647"/>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c r="BJ71" s="638"/>
      <c r="BK71" s="638"/>
      <c r="BL71" s="638"/>
      <c r="BM71" s="638"/>
      <c r="BN71" s="638"/>
      <c r="BO71" s="638"/>
      <c r="BP71" s="638"/>
      <c r="BQ71" s="638"/>
      <c r="BR71" s="638"/>
      <c r="BS71" s="638"/>
      <c r="BT71" s="638"/>
      <c r="BU71" s="638"/>
      <c r="BV71" s="638"/>
      <c r="BW71" s="638"/>
      <c r="BX71" s="638"/>
      <c r="BY71" s="638"/>
      <c r="BZ71" s="638"/>
      <c r="CA71" s="638"/>
      <c r="CB71" s="638"/>
      <c r="CC71" s="638"/>
      <c r="CD71" s="638"/>
      <c r="CE71" s="638"/>
      <c r="CF71" s="638"/>
      <c r="CG71" s="638"/>
      <c r="CH71" s="638"/>
      <c r="CI71" s="638"/>
      <c r="CJ71" s="638"/>
      <c r="CK71" s="638"/>
      <c r="CL71" s="638"/>
      <c r="CM71" s="638"/>
      <c r="CN71" s="638"/>
      <c r="CO71" s="638"/>
      <c r="CP71" s="638"/>
      <c r="CQ71" s="638"/>
      <c r="CR71" s="638"/>
      <c r="CS71" s="638"/>
      <c r="CT71" s="638"/>
    </row>
    <row r="72" spans="1:98" s="700" customFormat="1" outlineLevel="1" x14ac:dyDescent="0.25">
      <c r="A72" s="707"/>
      <c r="B72" s="708"/>
      <c r="C72" s="707"/>
      <c r="D72" s="709"/>
      <c r="E72" s="709"/>
      <c r="F72" s="707"/>
      <c r="G72" s="707"/>
      <c r="H72" s="707"/>
      <c r="I72" s="707"/>
      <c r="J72" s="707"/>
      <c r="K72" s="707"/>
      <c r="L72" s="707"/>
      <c r="M72" s="707"/>
      <c r="N72" s="707"/>
      <c r="O72" s="707"/>
      <c r="P72" s="707"/>
      <c r="Q72" s="707"/>
      <c r="R72" s="707"/>
      <c r="S72" s="707"/>
      <c r="T72" s="707"/>
      <c r="U72" s="707"/>
      <c r="V72" s="707"/>
      <c r="W72" s="707"/>
      <c r="X72" s="707"/>
      <c r="Y72" s="707"/>
      <c r="Z72" s="707"/>
      <c r="AA72" s="707"/>
      <c r="AB72" s="707"/>
      <c r="AC72" s="707"/>
      <c r="AD72" s="707"/>
      <c r="AE72" s="707"/>
      <c r="AF72" s="707"/>
      <c r="AG72" s="707"/>
      <c r="AH72" s="707"/>
      <c r="AI72" s="707"/>
      <c r="AJ72" s="707"/>
      <c r="AK72" s="707"/>
      <c r="AL72" s="707"/>
      <c r="AM72" s="707"/>
      <c r="AN72" s="707"/>
      <c r="AO72" s="707"/>
      <c r="AP72" s="707"/>
      <c r="AQ72" s="707"/>
      <c r="AR72" s="707"/>
      <c r="AS72" s="707"/>
      <c r="AT72" s="707"/>
      <c r="AU72" s="707"/>
      <c r="AV72" s="707"/>
      <c r="AW72" s="707"/>
      <c r="AX72" s="707"/>
      <c r="AY72" s="707"/>
      <c r="AZ72" s="707"/>
      <c r="BA72" s="707"/>
      <c r="BB72" s="707"/>
      <c r="BC72" s="707"/>
      <c r="BD72" s="707"/>
      <c r="BE72" s="707"/>
      <c r="BF72" s="707"/>
      <c r="BG72" s="707"/>
      <c r="BH72" s="707"/>
      <c r="BI72" s="707"/>
      <c r="BJ72" s="707"/>
      <c r="BK72" s="707"/>
      <c r="BL72" s="707"/>
      <c r="BM72" s="707"/>
      <c r="BN72" s="707"/>
      <c r="BO72" s="707"/>
      <c r="BP72" s="707"/>
      <c r="BQ72" s="707"/>
      <c r="BR72" s="707"/>
      <c r="BS72" s="707"/>
      <c r="BT72" s="707"/>
      <c r="BU72" s="707"/>
      <c r="BV72" s="707"/>
      <c r="BW72" s="707"/>
      <c r="BX72" s="707"/>
      <c r="BY72" s="707"/>
      <c r="BZ72" s="707"/>
      <c r="CA72" s="707"/>
      <c r="CB72" s="707"/>
      <c r="CC72" s="707"/>
      <c r="CD72" s="707"/>
      <c r="CE72" s="707"/>
      <c r="CF72" s="707"/>
      <c r="CG72" s="707"/>
      <c r="CH72" s="707"/>
      <c r="CI72" s="707"/>
      <c r="CJ72" s="707"/>
      <c r="CK72" s="707"/>
      <c r="CL72" s="707"/>
      <c r="CM72" s="707"/>
      <c r="CN72" s="707"/>
      <c r="CO72" s="707"/>
      <c r="CP72" s="707"/>
      <c r="CQ72" s="707"/>
      <c r="CR72" s="707"/>
      <c r="CS72" s="707"/>
      <c r="CT72" s="707"/>
    </row>
    <row r="73" spans="1:98" s="700" customFormat="1" outlineLevel="1" x14ac:dyDescent="0.25">
      <c r="A73" s="707"/>
      <c r="B73" s="708"/>
      <c r="C73" s="707"/>
      <c r="D73" s="708"/>
      <c r="E73" s="709"/>
      <c r="F73" s="710"/>
      <c r="G73" s="709"/>
      <c r="H73" s="707"/>
      <c r="I73" s="707"/>
      <c r="J73" s="707"/>
      <c r="K73" s="707"/>
      <c r="L73" s="707"/>
      <c r="M73" s="707"/>
      <c r="N73" s="707"/>
      <c r="O73" s="707"/>
      <c r="P73" s="707"/>
      <c r="Q73" s="707"/>
      <c r="R73" s="707"/>
      <c r="S73" s="707"/>
      <c r="T73" s="707"/>
      <c r="U73" s="707"/>
      <c r="V73" s="707"/>
      <c r="W73" s="707"/>
      <c r="X73" s="707"/>
      <c r="Y73" s="707"/>
      <c r="Z73" s="707"/>
      <c r="AA73" s="707"/>
      <c r="AB73" s="707"/>
      <c r="AC73" s="707"/>
      <c r="AD73" s="707"/>
      <c r="AE73" s="707"/>
      <c r="AF73" s="707"/>
      <c r="AG73" s="707"/>
      <c r="AH73" s="707"/>
      <c r="AI73" s="707"/>
      <c r="AJ73" s="707"/>
      <c r="AK73" s="707"/>
      <c r="AL73" s="707"/>
      <c r="AM73" s="707"/>
      <c r="AN73" s="707"/>
      <c r="AO73" s="707"/>
      <c r="AP73" s="707"/>
      <c r="AQ73" s="707"/>
      <c r="AR73" s="707"/>
      <c r="AS73" s="707"/>
      <c r="AT73" s="707"/>
      <c r="AU73" s="707"/>
      <c r="AV73" s="707"/>
      <c r="AW73" s="707"/>
      <c r="AX73" s="707"/>
      <c r="AY73" s="707"/>
      <c r="AZ73" s="707"/>
      <c r="BA73" s="707"/>
      <c r="BB73" s="707"/>
      <c r="BC73" s="707"/>
      <c r="BD73" s="707"/>
      <c r="BE73" s="707"/>
      <c r="BF73" s="707"/>
      <c r="BG73" s="707"/>
      <c r="BH73" s="707"/>
      <c r="BI73" s="707"/>
      <c r="BJ73" s="707"/>
      <c r="BK73" s="707"/>
      <c r="BL73" s="707"/>
      <c r="BM73" s="707"/>
      <c r="BN73" s="707"/>
      <c r="BO73" s="707"/>
      <c r="BP73" s="707"/>
      <c r="BQ73" s="707"/>
      <c r="BR73" s="707"/>
      <c r="BS73" s="707"/>
      <c r="BT73" s="707"/>
      <c r="BU73" s="707"/>
      <c r="BV73" s="707"/>
      <c r="BW73" s="707"/>
      <c r="BX73" s="707"/>
      <c r="BY73" s="707"/>
      <c r="BZ73" s="707"/>
      <c r="CA73" s="707"/>
      <c r="CB73" s="707"/>
      <c r="CC73" s="707"/>
      <c r="CD73" s="707"/>
      <c r="CE73" s="707"/>
      <c r="CF73" s="707"/>
      <c r="CG73" s="707"/>
      <c r="CH73" s="707"/>
      <c r="CI73" s="707"/>
      <c r="CJ73" s="707"/>
      <c r="CK73" s="707"/>
      <c r="CL73" s="707"/>
      <c r="CM73" s="707"/>
      <c r="CN73" s="707"/>
      <c r="CO73" s="707"/>
      <c r="CP73" s="707"/>
      <c r="CQ73" s="707"/>
      <c r="CR73" s="707"/>
      <c r="CS73" s="707"/>
      <c r="CT73" s="707"/>
    </row>
    <row r="74" spans="1:98" s="700" customFormat="1" outlineLevel="1" x14ac:dyDescent="0.25">
      <c r="A74" s="707"/>
      <c r="B74" s="708"/>
      <c r="C74" s="707"/>
      <c r="D74" s="708"/>
      <c r="E74" s="711"/>
      <c r="F74" s="713"/>
      <c r="G74" s="713"/>
      <c r="H74" s="713"/>
      <c r="I74" s="713"/>
      <c r="J74" s="713"/>
      <c r="K74" s="713"/>
      <c r="L74" s="713"/>
      <c r="M74" s="707"/>
      <c r="N74" s="707"/>
      <c r="O74" s="707"/>
      <c r="P74" s="707"/>
      <c r="Q74" s="707"/>
      <c r="R74" s="707"/>
      <c r="S74" s="707"/>
      <c r="T74" s="707"/>
      <c r="U74" s="707"/>
      <c r="V74" s="707"/>
      <c r="W74" s="707"/>
      <c r="X74" s="707"/>
      <c r="Y74" s="707"/>
      <c r="Z74" s="707"/>
      <c r="AA74" s="707"/>
      <c r="AB74" s="707"/>
      <c r="AC74" s="707"/>
      <c r="AD74" s="707"/>
      <c r="AE74" s="707"/>
      <c r="AF74" s="707"/>
      <c r="AG74" s="707"/>
      <c r="AH74" s="707"/>
      <c r="AI74" s="707"/>
      <c r="AJ74" s="707"/>
      <c r="AK74" s="707"/>
      <c r="AL74" s="707"/>
      <c r="AM74" s="707"/>
      <c r="AN74" s="707"/>
      <c r="AO74" s="707"/>
      <c r="AP74" s="707"/>
      <c r="AQ74" s="707"/>
      <c r="AR74" s="707"/>
      <c r="AS74" s="707"/>
      <c r="AT74" s="707"/>
      <c r="AU74" s="707"/>
      <c r="AV74" s="707"/>
      <c r="AW74" s="707"/>
      <c r="AX74" s="707"/>
      <c r="AY74" s="707"/>
      <c r="AZ74" s="707"/>
      <c r="BA74" s="707"/>
      <c r="BB74" s="707"/>
      <c r="BC74" s="707"/>
      <c r="BD74" s="707"/>
      <c r="BE74" s="707"/>
      <c r="BF74" s="707"/>
      <c r="BG74" s="707"/>
      <c r="BH74" s="707"/>
      <c r="BI74" s="707"/>
      <c r="BJ74" s="707"/>
      <c r="BK74" s="707"/>
      <c r="BL74" s="707"/>
      <c r="BM74" s="707"/>
      <c r="BN74" s="707"/>
      <c r="BO74" s="707"/>
      <c r="BP74" s="707"/>
      <c r="BQ74" s="707"/>
      <c r="BR74" s="707"/>
      <c r="BS74" s="707"/>
      <c r="BT74" s="707"/>
      <c r="BU74" s="707"/>
      <c r="BV74" s="707"/>
      <c r="BW74" s="707"/>
      <c r="BX74" s="707"/>
      <c r="BY74" s="707"/>
      <c r="BZ74" s="707"/>
      <c r="CA74" s="707"/>
      <c r="CB74" s="707"/>
      <c r="CC74" s="707"/>
      <c r="CD74" s="707"/>
      <c r="CE74" s="707"/>
      <c r="CF74" s="707"/>
      <c r="CG74" s="707"/>
      <c r="CH74" s="707"/>
      <c r="CI74" s="707"/>
      <c r="CJ74" s="707"/>
      <c r="CK74" s="707"/>
      <c r="CL74" s="707"/>
      <c r="CM74" s="707"/>
      <c r="CN74" s="707"/>
      <c r="CO74" s="707"/>
      <c r="CP74" s="707"/>
      <c r="CQ74" s="707"/>
      <c r="CR74" s="707"/>
      <c r="CS74" s="707"/>
      <c r="CT74" s="707"/>
    </row>
    <row r="75" spans="1:98" s="700" customFormat="1" outlineLevel="1" x14ac:dyDescent="0.25">
      <c r="A75" s="707"/>
      <c r="B75" s="708"/>
      <c r="C75" s="707"/>
      <c r="D75" s="712"/>
      <c r="E75" s="710"/>
      <c r="F75" s="711"/>
      <c r="G75" s="711"/>
      <c r="H75" s="714"/>
      <c r="I75" s="714"/>
      <c r="J75" s="714"/>
      <c r="K75" s="714"/>
      <c r="L75" s="714"/>
      <c r="M75" s="707"/>
      <c r="N75" s="707"/>
      <c r="O75" s="707"/>
      <c r="P75" s="707"/>
      <c r="Q75" s="707"/>
      <c r="R75" s="707"/>
      <c r="S75" s="707"/>
      <c r="T75" s="707"/>
      <c r="U75" s="707"/>
      <c r="V75" s="707"/>
      <c r="W75" s="707"/>
      <c r="X75" s="707"/>
      <c r="Y75" s="707"/>
      <c r="Z75" s="707"/>
      <c r="AA75" s="707"/>
      <c r="AB75" s="707"/>
      <c r="AC75" s="707"/>
      <c r="AD75" s="707"/>
      <c r="AE75" s="707"/>
      <c r="AF75" s="707"/>
      <c r="AG75" s="707"/>
      <c r="AH75" s="707"/>
      <c r="AI75" s="707"/>
      <c r="AJ75" s="707"/>
      <c r="AK75" s="707"/>
      <c r="AL75" s="707"/>
      <c r="AM75" s="707"/>
      <c r="AN75" s="707"/>
      <c r="AO75" s="707"/>
      <c r="AP75" s="707"/>
      <c r="AQ75" s="707"/>
      <c r="AR75" s="707"/>
      <c r="AS75" s="707"/>
      <c r="AT75" s="707"/>
      <c r="AU75" s="707"/>
      <c r="AV75" s="707"/>
      <c r="AW75" s="707"/>
      <c r="AX75" s="707"/>
      <c r="AY75" s="707"/>
      <c r="AZ75" s="707"/>
      <c r="BA75" s="707"/>
      <c r="BB75" s="707"/>
      <c r="BC75" s="707"/>
      <c r="BD75" s="707"/>
      <c r="BE75" s="707"/>
      <c r="BF75" s="707"/>
      <c r="BG75" s="707"/>
      <c r="BH75" s="707"/>
      <c r="BI75" s="707"/>
      <c r="BJ75" s="707"/>
      <c r="BK75" s="707"/>
      <c r="BL75" s="707"/>
      <c r="BM75" s="707"/>
      <c r="BN75" s="707"/>
      <c r="BO75" s="707"/>
      <c r="BP75" s="707"/>
      <c r="BQ75" s="707"/>
      <c r="BR75" s="707"/>
      <c r="BS75" s="707"/>
      <c r="BT75" s="707"/>
      <c r="BU75" s="707"/>
      <c r="BV75" s="707"/>
      <c r="BW75" s="707"/>
      <c r="BX75" s="707"/>
      <c r="BY75" s="707"/>
      <c r="BZ75" s="707"/>
      <c r="CA75" s="707"/>
      <c r="CB75" s="707"/>
      <c r="CC75" s="707"/>
      <c r="CD75" s="707"/>
      <c r="CE75" s="707"/>
      <c r="CF75" s="707"/>
      <c r="CG75" s="707"/>
      <c r="CH75" s="707"/>
      <c r="CI75" s="707"/>
      <c r="CJ75" s="707"/>
      <c r="CK75" s="707"/>
      <c r="CL75" s="707"/>
      <c r="CM75" s="707"/>
      <c r="CN75" s="707"/>
      <c r="CO75" s="707"/>
      <c r="CP75" s="707"/>
      <c r="CQ75" s="707"/>
      <c r="CR75" s="707"/>
      <c r="CS75" s="707"/>
      <c r="CT75" s="707"/>
    </row>
    <row r="76" spans="1:98" s="700" customFormat="1" outlineLevel="1" x14ac:dyDescent="0.25">
      <c r="A76" s="707"/>
      <c r="B76" s="708"/>
      <c r="C76" s="707"/>
      <c r="D76" s="708"/>
      <c r="E76" s="715"/>
      <c r="F76" s="711"/>
      <c r="G76" s="711"/>
      <c r="H76" s="714"/>
      <c r="I76" s="714"/>
      <c r="J76" s="714"/>
      <c r="K76" s="714"/>
      <c r="L76" s="714"/>
      <c r="M76" s="707"/>
      <c r="N76" s="707"/>
      <c r="O76" s="707"/>
      <c r="P76" s="707"/>
      <c r="Q76" s="707"/>
      <c r="R76" s="707"/>
      <c r="S76" s="707"/>
      <c r="T76" s="707"/>
      <c r="U76" s="707"/>
      <c r="V76" s="707"/>
      <c r="W76" s="707"/>
      <c r="X76" s="707"/>
      <c r="Y76" s="707"/>
      <c r="Z76" s="707"/>
      <c r="AA76" s="707"/>
      <c r="AB76" s="707"/>
      <c r="AC76" s="707"/>
      <c r="AD76" s="707"/>
      <c r="AE76" s="707"/>
      <c r="AF76" s="707"/>
      <c r="AG76" s="707"/>
      <c r="AH76" s="707"/>
      <c r="AI76" s="707"/>
      <c r="AJ76" s="707"/>
      <c r="AK76" s="707"/>
      <c r="AL76" s="707"/>
      <c r="AM76" s="707"/>
      <c r="AN76" s="707"/>
      <c r="AO76" s="707"/>
      <c r="AP76" s="707"/>
      <c r="AQ76" s="707"/>
      <c r="AR76" s="707"/>
      <c r="AS76" s="707"/>
      <c r="AT76" s="707"/>
      <c r="AU76" s="707"/>
      <c r="AV76" s="707"/>
      <c r="AW76" s="707"/>
      <c r="AX76" s="707"/>
      <c r="AY76" s="707"/>
      <c r="AZ76" s="707"/>
      <c r="BA76" s="707"/>
      <c r="BB76" s="707"/>
      <c r="BC76" s="707"/>
      <c r="BD76" s="707"/>
      <c r="BE76" s="707"/>
      <c r="BF76" s="707"/>
      <c r="BG76" s="707"/>
      <c r="BH76" s="707"/>
      <c r="BI76" s="707"/>
      <c r="BJ76" s="707"/>
      <c r="BK76" s="707"/>
      <c r="BL76" s="707"/>
      <c r="BM76" s="707"/>
      <c r="BN76" s="707"/>
      <c r="BO76" s="707"/>
      <c r="BP76" s="707"/>
      <c r="BQ76" s="707"/>
      <c r="BR76" s="707"/>
      <c r="BS76" s="707"/>
      <c r="BT76" s="707"/>
      <c r="BU76" s="707"/>
      <c r="BV76" s="707"/>
      <c r="BW76" s="707"/>
      <c r="BX76" s="707"/>
      <c r="BY76" s="707"/>
      <c r="BZ76" s="707"/>
      <c r="CA76" s="707"/>
      <c r="CB76" s="707"/>
      <c r="CC76" s="707"/>
      <c r="CD76" s="707"/>
      <c r="CE76" s="707"/>
      <c r="CF76" s="707"/>
      <c r="CG76" s="707"/>
      <c r="CH76" s="707"/>
      <c r="CI76" s="707"/>
      <c r="CJ76" s="707"/>
      <c r="CK76" s="707"/>
      <c r="CL76" s="707"/>
      <c r="CM76" s="707"/>
      <c r="CN76" s="707"/>
      <c r="CO76" s="707"/>
      <c r="CP76" s="707"/>
      <c r="CQ76" s="707"/>
      <c r="CR76" s="707"/>
      <c r="CS76" s="707"/>
      <c r="CT76" s="707"/>
    </row>
    <row r="77" spans="1:98" s="700" customFormat="1" outlineLevel="1" x14ac:dyDescent="0.25">
      <c r="A77" s="707"/>
      <c r="B77" s="708"/>
      <c r="C77" s="707"/>
      <c r="D77" s="708"/>
      <c r="E77" s="715"/>
      <c r="F77" s="711"/>
      <c r="G77" s="711"/>
      <c r="H77" s="714"/>
      <c r="I77" s="714"/>
      <c r="J77" s="714"/>
      <c r="K77" s="714"/>
      <c r="L77" s="714"/>
      <c r="M77" s="707"/>
      <c r="N77" s="707"/>
      <c r="O77" s="707"/>
      <c r="P77" s="707"/>
      <c r="Q77" s="707"/>
      <c r="R77" s="707"/>
      <c r="S77" s="707"/>
      <c r="T77" s="707"/>
      <c r="U77" s="707"/>
      <c r="V77" s="707"/>
      <c r="W77" s="707"/>
      <c r="X77" s="707"/>
      <c r="Y77" s="707"/>
      <c r="Z77" s="707"/>
      <c r="AA77" s="707"/>
      <c r="AB77" s="707"/>
      <c r="AC77" s="707"/>
      <c r="AD77" s="707"/>
      <c r="AE77" s="707"/>
      <c r="AF77" s="707"/>
      <c r="AG77" s="707"/>
      <c r="AH77" s="707"/>
      <c r="AI77" s="707"/>
      <c r="AJ77" s="707"/>
      <c r="AK77" s="707"/>
      <c r="AL77" s="707"/>
      <c r="AM77" s="707"/>
      <c r="AN77" s="707"/>
      <c r="AO77" s="707"/>
      <c r="AP77" s="707"/>
      <c r="AQ77" s="707"/>
      <c r="AR77" s="707"/>
      <c r="AS77" s="707"/>
      <c r="AT77" s="707"/>
      <c r="AU77" s="707"/>
      <c r="AV77" s="707"/>
      <c r="AW77" s="707"/>
      <c r="AX77" s="707"/>
      <c r="AY77" s="707"/>
      <c r="AZ77" s="707"/>
      <c r="BA77" s="707"/>
      <c r="BB77" s="707"/>
      <c r="BC77" s="707"/>
      <c r="BD77" s="707"/>
      <c r="BE77" s="707"/>
      <c r="BF77" s="707"/>
      <c r="BG77" s="707"/>
      <c r="BH77" s="707"/>
      <c r="BI77" s="707"/>
      <c r="BJ77" s="707"/>
      <c r="BK77" s="707"/>
      <c r="BL77" s="707"/>
      <c r="BM77" s="707"/>
      <c r="BN77" s="707"/>
      <c r="BO77" s="707"/>
      <c r="BP77" s="707"/>
      <c r="BQ77" s="707"/>
      <c r="BR77" s="707"/>
      <c r="BS77" s="707"/>
      <c r="BT77" s="707"/>
      <c r="BU77" s="707"/>
      <c r="BV77" s="707"/>
      <c r="BW77" s="707"/>
      <c r="BX77" s="707"/>
      <c r="BY77" s="707"/>
      <c r="BZ77" s="707"/>
      <c r="CA77" s="707"/>
      <c r="CB77" s="707"/>
      <c r="CC77" s="707"/>
      <c r="CD77" s="707"/>
      <c r="CE77" s="707"/>
      <c r="CF77" s="707"/>
      <c r="CG77" s="707"/>
      <c r="CH77" s="707"/>
      <c r="CI77" s="707"/>
      <c r="CJ77" s="707"/>
      <c r="CK77" s="707"/>
      <c r="CL77" s="707"/>
      <c r="CM77" s="707"/>
      <c r="CN77" s="707"/>
      <c r="CO77" s="707"/>
      <c r="CP77" s="707"/>
      <c r="CQ77" s="707"/>
      <c r="CR77" s="707"/>
      <c r="CS77" s="707"/>
      <c r="CT77" s="707"/>
    </row>
    <row r="78" spans="1:98" s="700" customFormat="1" ht="18.75" outlineLevel="1" x14ac:dyDescent="0.3">
      <c r="A78" s="707"/>
      <c r="B78" s="708"/>
      <c r="C78" s="707"/>
      <c r="D78" s="708"/>
      <c r="E78" s="715"/>
      <c r="F78" s="711"/>
      <c r="G78" s="711"/>
      <c r="H78" s="714"/>
      <c r="I78" s="714"/>
      <c r="J78" s="716"/>
      <c r="K78" s="714"/>
      <c r="L78" s="714"/>
      <c r="M78" s="707"/>
      <c r="N78" s="707"/>
      <c r="O78" s="707"/>
      <c r="P78" s="707"/>
      <c r="Q78" s="707"/>
      <c r="R78" s="707"/>
      <c r="S78" s="707"/>
      <c r="T78" s="707"/>
      <c r="U78" s="707"/>
      <c r="V78" s="707"/>
      <c r="W78" s="707"/>
      <c r="X78" s="707"/>
      <c r="Y78" s="707"/>
      <c r="Z78" s="707"/>
      <c r="AA78" s="707"/>
      <c r="AB78" s="707"/>
      <c r="AC78" s="707"/>
      <c r="AD78" s="707"/>
      <c r="AE78" s="707"/>
      <c r="AF78" s="707"/>
      <c r="AG78" s="707"/>
      <c r="AH78" s="707"/>
      <c r="AI78" s="707"/>
      <c r="AJ78" s="707"/>
      <c r="AK78" s="707"/>
      <c r="AL78" s="707"/>
      <c r="AM78" s="707"/>
      <c r="AN78" s="707"/>
      <c r="AO78" s="707"/>
      <c r="AP78" s="707"/>
      <c r="AQ78" s="707"/>
      <c r="AR78" s="707"/>
      <c r="AS78" s="707"/>
      <c r="AT78" s="707"/>
      <c r="AU78" s="707"/>
      <c r="AV78" s="707"/>
      <c r="AW78" s="707"/>
      <c r="AX78" s="707"/>
      <c r="AY78" s="707"/>
      <c r="AZ78" s="707"/>
      <c r="BA78" s="707"/>
      <c r="BB78" s="707"/>
      <c r="BC78" s="707"/>
      <c r="BD78" s="707"/>
      <c r="BE78" s="707"/>
      <c r="BF78" s="707"/>
      <c r="BG78" s="707"/>
      <c r="BH78" s="707"/>
      <c r="BI78" s="707"/>
      <c r="BJ78" s="707"/>
      <c r="BK78" s="707"/>
      <c r="BL78" s="707"/>
      <c r="BM78" s="707"/>
      <c r="BN78" s="707"/>
      <c r="BO78" s="707"/>
      <c r="BP78" s="707"/>
      <c r="BQ78" s="707"/>
      <c r="BR78" s="707"/>
      <c r="BS78" s="707"/>
      <c r="BT78" s="707"/>
      <c r="BU78" s="707"/>
      <c r="BV78" s="707"/>
      <c r="BW78" s="707"/>
      <c r="BX78" s="707"/>
      <c r="BY78" s="707"/>
      <c r="BZ78" s="707"/>
      <c r="CA78" s="707"/>
      <c r="CB78" s="707"/>
      <c r="CC78" s="707"/>
      <c r="CD78" s="707"/>
      <c r="CE78" s="707"/>
      <c r="CF78" s="707"/>
      <c r="CG78" s="707"/>
      <c r="CH78" s="707"/>
      <c r="CI78" s="707"/>
      <c r="CJ78" s="707"/>
      <c r="CK78" s="707"/>
      <c r="CL78" s="707"/>
      <c r="CM78" s="707"/>
      <c r="CN78" s="707"/>
      <c r="CO78" s="707"/>
      <c r="CP78" s="707"/>
      <c r="CQ78" s="707"/>
      <c r="CR78" s="707"/>
      <c r="CS78" s="707"/>
      <c r="CT78" s="707"/>
    </row>
    <row r="79" spans="1:98" s="700" customFormat="1" outlineLevel="1" x14ac:dyDescent="0.25">
      <c r="A79" s="707"/>
      <c r="B79" s="708"/>
      <c r="C79" s="707"/>
      <c r="D79" s="708"/>
      <c r="E79" s="715"/>
      <c r="F79" s="711"/>
      <c r="G79" s="711"/>
      <c r="H79" s="714"/>
      <c r="I79" s="714"/>
      <c r="J79" s="714"/>
      <c r="K79" s="714"/>
      <c r="L79" s="714"/>
      <c r="M79" s="707"/>
      <c r="N79" s="707"/>
      <c r="O79" s="707"/>
      <c r="P79" s="707"/>
      <c r="Q79" s="707"/>
      <c r="R79" s="707"/>
      <c r="S79" s="707"/>
      <c r="T79" s="707"/>
      <c r="U79" s="707"/>
      <c r="V79" s="707"/>
      <c r="W79" s="707"/>
      <c r="X79" s="707"/>
      <c r="Y79" s="707"/>
      <c r="Z79" s="707"/>
      <c r="AA79" s="707"/>
      <c r="AB79" s="707"/>
      <c r="AC79" s="707"/>
      <c r="AD79" s="707"/>
      <c r="AE79" s="707"/>
      <c r="AF79" s="707"/>
      <c r="AG79" s="707"/>
      <c r="AH79" s="707"/>
      <c r="AI79" s="707"/>
      <c r="AJ79" s="707"/>
      <c r="AK79" s="707"/>
      <c r="AL79" s="707"/>
      <c r="AM79" s="707"/>
      <c r="AN79" s="707"/>
      <c r="AO79" s="707"/>
      <c r="AP79" s="707"/>
      <c r="AQ79" s="707"/>
      <c r="AR79" s="707"/>
      <c r="AS79" s="707"/>
      <c r="AT79" s="707"/>
      <c r="AU79" s="707"/>
      <c r="AV79" s="707"/>
      <c r="AW79" s="707"/>
      <c r="AX79" s="707"/>
      <c r="AY79" s="707"/>
      <c r="AZ79" s="707"/>
      <c r="BA79" s="707"/>
      <c r="BB79" s="707"/>
      <c r="BC79" s="707"/>
      <c r="BD79" s="707"/>
      <c r="BE79" s="707"/>
      <c r="BF79" s="707"/>
      <c r="BG79" s="707"/>
      <c r="BH79" s="707"/>
      <c r="BI79" s="707"/>
      <c r="BJ79" s="707"/>
      <c r="BK79" s="707"/>
      <c r="BL79" s="707"/>
      <c r="BM79" s="707"/>
      <c r="BN79" s="707"/>
      <c r="BO79" s="707"/>
      <c r="BP79" s="707"/>
      <c r="BQ79" s="707"/>
      <c r="BR79" s="707"/>
      <c r="BS79" s="707"/>
      <c r="BT79" s="707"/>
      <c r="BU79" s="707"/>
      <c r="BV79" s="707"/>
      <c r="BW79" s="707"/>
      <c r="BX79" s="707"/>
      <c r="BY79" s="707"/>
      <c r="BZ79" s="707"/>
      <c r="CA79" s="707"/>
      <c r="CB79" s="707"/>
      <c r="CC79" s="707"/>
      <c r="CD79" s="707"/>
      <c r="CE79" s="707"/>
      <c r="CF79" s="707"/>
      <c r="CG79" s="707"/>
      <c r="CH79" s="707"/>
      <c r="CI79" s="707"/>
      <c r="CJ79" s="707"/>
      <c r="CK79" s="707"/>
      <c r="CL79" s="707"/>
      <c r="CM79" s="707"/>
      <c r="CN79" s="707"/>
      <c r="CO79" s="707"/>
      <c r="CP79" s="707"/>
      <c r="CQ79" s="707"/>
      <c r="CR79" s="707"/>
      <c r="CS79" s="707"/>
      <c r="CT79" s="707"/>
    </row>
    <row r="80" spans="1:98" s="700" customFormat="1" outlineLevel="1" x14ac:dyDescent="0.25">
      <c r="A80" s="707"/>
      <c r="B80" s="708"/>
      <c r="C80" s="707"/>
      <c r="D80" s="708"/>
      <c r="E80" s="715"/>
      <c r="F80" s="711"/>
      <c r="G80" s="711"/>
      <c r="H80" s="714"/>
      <c r="I80" s="714"/>
      <c r="J80" s="714"/>
      <c r="K80" s="714"/>
      <c r="L80" s="714"/>
      <c r="M80" s="707"/>
      <c r="N80" s="707"/>
      <c r="O80" s="707"/>
      <c r="P80" s="707"/>
      <c r="Q80" s="707"/>
      <c r="R80" s="707"/>
      <c r="S80" s="707"/>
      <c r="T80" s="707"/>
      <c r="U80" s="707"/>
      <c r="V80" s="707"/>
      <c r="W80" s="707"/>
      <c r="X80" s="707"/>
      <c r="Y80" s="707"/>
      <c r="Z80" s="707"/>
      <c r="AA80" s="707"/>
      <c r="AB80" s="707"/>
      <c r="AC80" s="707"/>
      <c r="AD80" s="707"/>
      <c r="AE80" s="707"/>
      <c r="AF80" s="707"/>
      <c r="AG80" s="707"/>
      <c r="AH80" s="707"/>
      <c r="AI80" s="707"/>
      <c r="AJ80" s="707"/>
      <c r="AK80" s="707"/>
      <c r="AL80" s="707"/>
      <c r="AM80" s="707"/>
      <c r="AN80" s="707"/>
      <c r="AO80" s="707"/>
      <c r="AP80" s="707"/>
      <c r="AQ80" s="707"/>
      <c r="AR80" s="707"/>
      <c r="AS80" s="707"/>
      <c r="AT80" s="707"/>
      <c r="AU80" s="707"/>
      <c r="AV80" s="707"/>
      <c r="AW80" s="707"/>
      <c r="AX80" s="707"/>
      <c r="AY80" s="707"/>
      <c r="AZ80" s="707"/>
      <c r="BA80" s="707"/>
      <c r="BB80" s="707"/>
      <c r="BC80" s="707"/>
      <c r="BD80" s="707"/>
      <c r="BE80" s="707"/>
      <c r="BF80" s="707"/>
      <c r="BG80" s="707"/>
      <c r="BH80" s="707"/>
      <c r="BI80" s="707"/>
      <c r="BJ80" s="707"/>
      <c r="BK80" s="707"/>
      <c r="BL80" s="707"/>
      <c r="BM80" s="707"/>
      <c r="BN80" s="707"/>
      <c r="BO80" s="707"/>
      <c r="BP80" s="707"/>
      <c r="BQ80" s="707"/>
      <c r="BR80" s="707"/>
      <c r="BS80" s="707"/>
      <c r="BT80" s="707"/>
      <c r="BU80" s="707"/>
      <c r="BV80" s="707"/>
      <c r="BW80" s="707"/>
      <c r="BX80" s="707"/>
      <c r="BY80" s="707"/>
      <c r="BZ80" s="707"/>
      <c r="CA80" s="707"/>
      <c r="CB80" s="707"/>
      <c r="CC80" s="707"/>
      <c r="CD80" s="707"/>
      <c r="CE80" s="707"/>
      <c r="CF80" s="707"/>
      <c r="CG80" s="707"/>
      <c r="CH80" s="707"/>
      <c r="CI80" s="707"/>
      <c r="CJ80" s="707"/>
      <c r="CK80" s="707"/>
      <c r="CL80" s="707"/>
      <c r="CM80" s="707"/>
      <c r="CN80" s="707"/>
      <c r="CO80" s="707"/>
      <c r="CP80" s="707"/>
      <c r="CQ80" s="707"/>
      <c r="CR80" s="707"/>
      <c r="CS80" s="707"/>
      <c r="CT80" s="707"/>
    </row>
    <row r="81" spans="1:98" s="700" customFormat="1" outlineLevel="1" x14ac:dyDescent="0.25">
      <c r="A81" s="707"/>
      <c r="B81" s="708"/>
      <c r="C81" s="707"/>
      <c r="D81" s="708"/>
      <c r="E81" s="715"/>
      <c r="F81" s="711"/>
      <c r="G81" s="711"/>
      <c r="H81" s="714"/>
      <c r="I81" s="714"/>
      <c r="J81" s="714"/>
      <c r="K81" s="714"/>
      <c r="L81" s="714"/>
      <c r="M81" s="707"/>
      <c r="N81" s="707"/>
      <c r="O81" s="707"/>
      <c r="P81" s="707"/>
      <c r="Q81" s="707"/>
      <c r="R81" s="707"/>
      <c r="S81" s="707"/>
      <c r="T81" s="707"/>
      <c r="U81" s="707"/>
      <c r="V81" s="707"/>
      <c r="W81" s="707"/>
      <c r="X81" s="707"/>
      <c r="Y81" s="707"/>
      <c r="Z81" s="707"/>
      <c r="AA81" s="707"/>
      <c r="AB81" s="707"/>
      <c r="AC81" s="707"/>
      <c r="AD81" s="707"/>
      <c r="AE81" s="707"/>
      <c r="AF81" s="707"/>
      <c r="AG81" s="707"/>
      <c r="AH81" s="707"/>
      <c r="AI81" s="707"/>
      <c r="AJ81" s="707"/>
      <c r="AK81" s="707"/>
      <c r="AL81" s="707"/>
      <c r="AM81" s="707"/>
      <c r="AN81" s="707"/>
      <c r="AO81" s="707"/>
      <c r="AP81" s="707"/>
      <c r="AQ81" s="707"/>
      <c r="AR81" s="707"/>
      <c r="AS81" s="707"/>
      <c r="AT81" s="707"/>
      <c r="AU81" s="707"/>
      <c r="AV81" s="707"/>
      <c r="AW81" s="707"/>
      <c r="AX81" s="707"/>
      <c r="AY81" s="707"/>
      <c r="AZ81" s="707"/>
      <c r="BA81" s="707"/>
      <c r="BB81" s="707"/>
      <c r="BC81" s="707"/>
      <c r="BD81" s="707"/>
      <c r="BE81" s="707"/>
      <c r="BF81" s="707"/>
      <c r="BG81" s="707"/>
      <c r="BH81" s="707"/>
      <c r="BI81" s="707"/>
      <c r="BJ81" s="707"/>
      <c r="BK81" s="707"/>
      <c r="BL81" s="707"/>
      <c r="BM81" s="707"/>
      <c r="BN81" s="707"/>
      <c r="BO81" s="707"/>
      <c r="BP81" s="707"/>
      <c r="BQ81" s="707"/>
      <c r="BR81" s="707"/>
      <c r="BS81" s="707"/>
      <c r="BT81" s="707"/>
      <c r="BU81" s="707"/>
      <c r="BV81" s="707"/>
      <c r="BW81" s="707"/>
      <c r="BX81" s="707"/>
      <c r="BY81" s="707"/>
      <c r="BZ81" s="707"/>
      <c r="CA81" s="707"/>
      <c r="CB81" s="707"/>
      <c r="CC81" s="707"/>
      <c r="CD81" s="707"/>
      <c r="CE81" s="707"/>
      <c r="CF81" s="707"/>
      <c r="CG81" s="707"/>
      <c r="CH81" s="707"/>
      <c r="CI81" s="707"/>
      <c r="CJ81" s="707"/>
      <c r="CK81" s="707"/>
      <c r="CL81" s="707"/>
      <c r="CM81" s="707"/>
      <c r="CN81" s="707"/>
      <c r="CO81" s="707"/>
      <c r="CP81" s="707"/>
      <c r="CQ81" s="707"/>
      <c r="CR81" s="707"/>
      <c r="CS81" s="707"/>
      <c r="CT81" s="707"/>
    </row>
    <row r="82" spans="1:98" s="424" customFormat="1" outlineLevel="1" x14ac:dyDescent="0.25">
      <c r="A82" s="638"/>
      <c r="B82" s="646"/>
      <c r="C82" s="638"/>
      <c r="D82" s="647"/>
      <c r="E82" s="647"/>
      <c r="F82" s="638"/>
      <c r="G82" s="638"/>
      <c r="H82" s="638"/>
      <c r="I82" s="638"/>
      <c r="J82" s="638"/>
      <c r="K82" s="638"/>
      <c r="L82" s="638"/>
      <c r="M82" s="638"/>
      <c r="N82" s="638"/>
      <c r="O82" s="638"/>
      <c r="P82" s="638"/>
      <c r="Q82" s="638"/>
      <c r="R82" s="638"/>
      <c r="S82" s="638"/>
      <c r="T82" s="638"/>
      <c r="U82" s="638"/>
      <c r="V82" s="638"/>
      <c r="W82" s="638"/>
      <c r="X82" s="638"/>
      <c r="Y82" s="638"/>
      <c r="Z82" s="638"/>
      <c r="AA82" s="638"/>
      <c r="AB82" s="638"/>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c r="BJ82" s="638"/>
      <c r="BK82" s="638"/>
      <c r="BL82" s="638"/>
      <c r="BM82" s="638"/>
      <c r="BN82" s="638"/>
      <c r="BO82" s="638"/>
      <c r="BP82" s="638"/>
      <c r="BQ82" s="638"/>
      <c r="BR82" s="638"/>
      <c r="BS82" s="638"/>
      <c r="BT82" s="638"/>
      <c r="BU82" s="638"/>
      <c r="BV82" s="638"/>
      <c r="BW82" s="638"/>
      <c r="BX82" s="638"/>
      <c r="BY82" s="638"/>
      <c r="BZ82" s="638"/>
      <c r="CA82" s="638"/>
      <c r="CB82" s="638"/>
      <c r="CC82" s="638"/>
      <c r="CD82" s="638"/>
      <c r="CE82" s="638"/>
      <c r="CF82" s="638"/>
      <c r="CG82" s="638"/>
      <c r="CH82" s="638"/>
      <c r="CI82" s="638"/>
      <c r="CJ82" s="638"/>
      <c r="CK82" s="638"/>
      <c r="CL82" s="638"/>
      <c r="CM82" s="638"/>
      <c r="CN82" s="638"/>
      <c r="CO82" s="638"/>
      <c r="CP82" s="638"/>
      <c r="CQ82" s="638"/>
      <c r="CR82" s="638"/>
      <c r="CS82" s="638"/>
      <c r="CT82" s="638"/>
    </row>
    <row r="83" spans="1:98" s="424" customFormat="1" outlineLevel="1" x14ac:dyDescent="0.25">
      <c r="A83" s="638"/>
      <c r="B83" s="646"/>
      <c r="C83" s="638"/>
      <c r="D83" s="647"/>
      <c r="E83" s="647"/>
      <c r="F83" s="638"/>
      <c r="G83" s="638"/>
      <c r="H83" s="638"/>
      <c r="I83" s="638"/>
      <c r="J83" s="638"/>
      <c r="K83" s="638"/>
      <c r="L83" s="638"/>
      <c r="M83" s="638"/>
      <c r="N83" s="638"/>
      <c r="O83" s="638"/>
      <c r="P83" s="638"/>
      <c r="Q83" s="638"/>
      <c r="R83" s="638"/>
      <c r="S83" s="638"/>
      <c r="T83" s="638"/>
      <c r="U83" s="638"/>
      <c r="V83" s="638"/>
      <c r="W83" s="638"/>
      <c r="X83" s="638"/>
      <c r="Y83" s="638"/>
      <c r="Z83" s="638"/>
      <c r="AA83" s="638"/>
      <c r="AB83" s="638"/>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c r="BJ83" s="638"/>
      <c r="BK83" s="638"/>
      <c r="BL83" s="638"/>
      <c r="BM83" s="638"/>
      <c r="BN83" s="638"/>
      <c r="BO83" s="638"/>
      <c r="BP83" s="638"/>
      <c r="BQ83" s="638"/>
      <c r="BR83" s="638"/>
      <c r="BS83" s="638"/>
      <c r="BT83" s="638"/>
      <c r="BU83" s="638"/>
      <c r="BV83" s="638"/>
      <c r="BW83" s="638"/>
      <c r="BX83" s="638"/>
      <c r="BY83" s="638"/>
      <c r="BZ83" s="638"/>
      <c r="CA83" s="638"/>
      <c r="CB83" s="638"/>
      <c r="CC83" s="638"/>
      <c r="CD83" s="638"/>
      <c r="CE83" s="638"/>
      <c r="CF83" s="638"/>
      <c r="CG83" s="638"/>
      <c r="CH83" s="638"/>
      <c r="CI83" s="638"/>
      <c r="CJ83" s="638"/>
      <c r="CK83" s="638"/>
      <c r="CL83" s="638"/>
      <c r="CM83" s="638"/>
      <c r="CN83" s="638"/>
      <c r="CO83" s="638"/>
      <c r="CP83" s="638"/>
      <c r="CQ83" s="638"/>
      <c r="CR83" s="638"/>
      <c r="CS83" s="638"/>
      <c r="CT83" s="638"/>
    </row>
    <row r="84" spans="1:98" s="424" customFormat="1" x14ac:dyDescent="0.25">
      <c r="A84" s="638"/>
      <c r="B84" s="646"/>
      <c r="C84" s="638"/>
      <c r="D84" s="647"/>
      <c r="E84" s="647"/>
      <c r="F84" s="638"/>
      <c r="G84" s="638"/>
      <c r="H84" s="638"/>
      <c r="I84" s="638"/>
      <c r="J84" s="638"/>
      <c r="K84" s="638"/>
      <c r="L84" s="638"/>
      <c r="M84" s="638"/>
      <c r="N84" s="638"/>
      <c r="O84" s="638"/>
      <c r="P84" s="638"/>
      <c r="Q84" s="638"/>
      <c r="R84" s="638"/>
      <c r="S84" s="638"/>
      <c r="T84" s="638"/>
      <c r="U84" s="638"/>
      <c r="V84" s="638"/>
      <c r="W84" s="638"/>
      <c r="X84" s="638"/>
      <c r="Y84" s="638"/>
      <c r="Z84" s="638"/>
      <c r="AA84" s="638"/>
      <c r="AB84" s="638"/>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c r="BJ84" s="638"/>
      <c r="BK84" s="638"/>
      <c r="BL84" s="638"/>
      <c r="BM84" s="638"/>
      <c r="BN84" s="638"/>
      <c r="BO84" s="638"/>
      <c r="BP84" s="638"/>
      <c r="BQ84" s="638"/>
      <c r="BR84" s="638"/>
      <c r="BS84" s="638"/>
      <c r="BT84" s="638"/>
      <c r="BU84" s="638"/>
      <c r="BV84" s="638"/>
      <c r="BW84" s="638"/>
      <c r="BX84" s="638"/>
      <c r="BY84" s="638"/>
      <c r="BZ84" s="638"/>
      <c r="CA84" s="638"/>
      <c r="CB84" s="638"/>
      <c r="CC84" s="638"/>
      <c r="CD84" s="638"/>
      <c r="CE84" s="638"/>
      <c r="CF84" s="638"/>
      <c r="CG84" s="638"/>
      <c r="CH84" s="638"/>
      <c r="CI84" s="638"/>
      <c r="CJ84" s="638"/>
      <c r="CK84" s="638"/>
      <c r="CL84" s="638"/>
      <c r="CM84" s="638"/>
      <c r="CN84" s="638"/>
      <c r="CO84" s="638"/>
      <c r="CP84" s="638"/>
      <c r="CQ84" s="638"/>
      <c r="CR84" s="638"/>
      <c r="CS84" s="638"/>
      <c r="CT84" s="638"/>
    </row>
    <row r="85" spans="1:98" ht="16.899999999999999" customHeight="1" x14ac:dyDescent="0.25">
      <c r="A85" s="427"/>
      <c r="B85" s="428">
        <f>B70+1</f>
        <v>4</v>
      </c>
      <c r="C85" s="429" t="s">
        <v>28</v>
      </c>
      <c r="D85" s="430"/>
      <c r="E85" s="430"/>
      <c r="F85" s="430"/>
      <c r="G85" s="431"/>
      <c r="H85" s="431"/>
      <c r="I85" s="431"/>
      <c r="J85" s="431"/>
      <c r="K85" s="431"/>
      <c r="L85" s="431"/>
      <c r="M85" s="431"/>
      <c r="N85" s="427"/>
      <c r="O85" s="427"/>
      <c r="P85" s="638"/>
      <c r="Q85" s="638"/>
      <c r="R85" s="638"/>
      <c r="S85" s="638"/>
      <c r="T85" s="638"/>
      <c r="U85" s="638"/>
      <c r="V85" s="638"/>
      <c r="W85" s="638"/>
      <c r="X85" s="638"/>
      <c r="Y85" s="638"/>
      <c r="Z85" s="638"/>
      <c r="AA85" s="638"/>
      <c r="AB85" s="638"/>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c r="BJ85" s="638"/>
      <c r="BK85" s="638"/>
      <c r="BL85" s="638"/>
      <c r="BM85" s="638"/>
      <c r="BN85" s="638"/>
      <c r="BO85" s="638"/>
      <c r="BP85" s="638"/>
      <c r="BQ85" s="638"/>
      <c r="BR85" s="638"/>
      <c r="BS85" s="638"/>
      <c r="BT85" s="638"/>
      <c r="BU85" s="638"/>
      <c r="BV85" s="638"/>
      <c r="BW85" s="638"/>
      <c r="BX85" s="638"/>
      <c r="BY85" s="638"/>
      <c r="BZ85" s="638"/>
      <c r="CA85" s="638"/>
      <c r="CB85" s="638"/>
      <c r="CC85" s="638"/>
      <c r="CD85" s="638"/>
      <c r="CE85" s="638"/>
      <c r="CF85" s="638"/>
      <c r="CG85" s="638"/>
      <c r="CH85" s="638"/>
      <c r="CI85" s="638"/>
      <c r="CJ85" s="638"/>
      <c r="CK85" s="638"/>
      <c r="CL85" s="638"/>
      <c r="CM85" s="638"/>
      <c r="CN85" s="638"/>
      <c r="CO85" s="638"/>
      <c r="CP85" s="638"/>
      <c r="CQ85" s="638"/>
      <c r="CR85" s="638"/>
      <c r="CS85" s="638"/>
      <c r="CT85" s="649"/>
    </row>
    <row r="86" spans="1:98" s="227" customFormat="1" outlineLevel="1" x14ac:dyDescent="0.25">
      <c r="C86" s="227" t="s">
        <v>29</v>
      </c>
      <c r="D86" s="228"/>
      <c r="E86" s="228">
        <f>F8</f>
        <v>2024</v>
      </c>
    </row>
    <row r="87" spans="1:98" s="227" customFormat="1" outlineLevel="1" x14ac:dyDescent="0.25">
      <c r="D87" s="228"/>
      <c r="E87" s="228"/>
    </row>
    <row r="88" spans="1:98" s="221" customFormat="1" outlineLevel="1" x14ac:dyDescent="0.25">
      <c r="C88" s="221" t="s">
        <v>30</v>
      </c>
      <c r="D88" s="222">
        <f>E88-1</f>
        <v>2023</v>
      </c>
      <c r="E88" s="223">
        <f>E86</f>
        <v>2024</v>
      </c>
      <c r="F88" s="223"/>
      <c r="G88" s="223"/>
      <c r="H88" s="223"/>
      <c r="I88" s="223"/>
      <c r="J88" s="223"/>
      <c r="K88" s="223"/>
      <c r="L88" s="223"/>
      <c r="M88" s="223"/>
      <c r="N88" s="223"/>
      <c r="O88" s="223"/>
      <c r="P88" s="223"/>
      <c r="Q88" s="227"/>
      <c r="R88" s="227"/>
      <c r="S88" s="227"/>
      <c r="T88" s="227"/>
      <c r="U88" s="227"/>
      <c r="V88" s="227"/>
      <c r="W88" s="227"/>
      <c r="X88" s="227"/>
      <c r="Y88" s="227"/>
      <c r="Z88" s="227"/>
      <c r="AA88" s="227"/>
      <c r="AB88" s="227"/>
      <c r="AC88" s="227"/>
      <c r="AD88" s="227"/>
      <c r="AE88" s="227"/>
      <c r="AF88" s="227"/>
      <c r="AG88" s="227"/>
      <c r="AH88" s="227"/>
      <c r="AI88" s="227"/>
      <c r="AJ88" s="227"/>
      <c r="AK88" s="227"/>
      <c r="AL88" s="227"/>
      <c r="AM88" s="227"/>
      <c r="AN88" s="227"/>
      <c r="AO88" s="227"/>
      <c r="AP88" s="227"/>
      <c r="AQ88" s="227"/>
      <c r="AR88" s="227"/>
      <c r="AS88" s="227"/>
      <c r="AT88" s="227"/>
      <c r="AU88" s="227"/>
      <c r="AV88" s="227"/>
      <c r="AW88" s="227"/>
      <c r="AX88" s="227"/>
      <c r="AY88" s="227"/>
      <c r="AZ88" s="227"/>
      <c r="BA88" s="227"/>
      <c r="BB88" s="227"/>
      <c r="BC88" s="227"/>
      <c r="BD88" s="227"/>
      <c r="BE88" s="227"/>
      <c r="BF88" s="227"/>
      <c r="BG88" s="227"/>
      <c r="BH88" s="227"/>
      <c r="BI88" s="227"/>
      <c r="BJ88" s="227"/>
      <c r="BK88" s="227"/>
      <c r="BL88" s="227"/>
      <c r="BM88" s="227"/>
      <c r="BN88" s="227"/>
      <c r="BO88" s="227"/>
      <c r="BP88" s="227"/>
      <c r="BQ88" s="227"/>
      <c r="BR88" s="227"/>
      <c r="BS88" s="227"/>
      <c r="BT88" s="227"/>
      <c r="BU88" s="227"/>
      <c r="BV88" s="227"/>
      <c r="BW88" s="227"/>
      <c r="BX88" s="227"/>
      <c r="BY88" s="227"/>
      <c r="BZ88" s="227"/>
      <c r="CA88" s="227"/>
      <c r="CB88" s="227"/>
      <c r="CC88" s="227"/>
      <c r="CD88" s="227"/>
      <c r="CE88" s="227"/>
      <c r="CF88" s="227"/>
      <c r="CG88" s="227"/>
      <c r="CH88" s="227"/>
      <c r="CI88" s="227"/>
      <c r="CJ88" s="227"/>
      <c r="CK88" s="227"/>
      <c r="CL88" s="227"/>
      <c r="CM88" s="227"/>
      <c r="CN88" s="227"/>
      <c r="CO88" s="227"/>
      <c r="CP88" s="227"/>
      <c r="CQ88" s="227"/>
      <c r="CR88" s="227"/>
      <c r="CS88" s="227"/>
    </row>
    <row r="89" spans="1:98" s="227" customFormat="1" outlineLevel="1" x14ac:dyDescent="0.25">
      <c r="D89" s="423"/>
      <c r="E89" s="228"/>
      <c r="F89" s="228"/>
      <c r="G89" s="228"/>
      <c r="H89" s="228"/>
      <c r="I89" s="228"/>
      <c r="J89" s="228"/>
      <c r="K89" s="228"/>
      <c r="L89" s="228"/>
      <c r="M89" s="228"/>
      <c r="N89" s="228"/>
      <c r="O89" s="228"/>
    </row>
    <row r="90" spans="1:98" s="227" customFormat="1" outlineLevel="1" x14ac:dyDescent="0.25">
      <c r="C90" s="531" t="s">
        <v>31</v>
      </c>
      <c r="D90" s="534"/>
      <c r="E90" s="535"/>
      <c r="F90" s="228"/>
      <c r="G90" s="228"/>
      <c r="H90" s="228"/>
      <c r="I90" s="228"/>
      <c r="J90" s="228"/>
      <c r="K90" s="228"/>
      <c r="L90" s="228"/>
      <c r="M90" s="228"/>
      <c r="N90" s="228"/>
      <c r="O90" s="228"/>
    </row>
    <row r="91" spans="1:98" s="227" customFormat="1" outlineLevel="1" x14ac:dyDescent="0.25">
      <c r="C91" s="638" t="s">
        <v>32</v>
      </c>
      <c r="D91" s="650">
        <v>150</v>
      </c>
      <c r="E91" s="651">
        <v>170</v>
      </c>
      <c r="F91" s="228"/>
      <c r="G91" s="228"/>
      <c r="H91" s="228"/>
      <c r="I91" s="228"/>
      <c r="J91" s="228"/>
      <c r="K91" s="228"/>
      <c r="L91" s="228"/>
      <c r="M91" s="228"/>
      <c r="N91" s="228"/>
      <c r="O91" s="228"/>
    </row>
    <row r="92" spans="1:98" s="227" customFormat="1" outlineLevel="1" x14ac:dyDescent="0.25">
      <c r="C92" s="638" t="s">
        <v>33</v>
      </c>
      <c r="D92" s="650">
        <v>-45</v>
      </c>
      <c r="E92" s="651">
        <v>-61.5</v>
      </c>
      <c r="F92" s="228"/>
      <c r="G92" s="228"/>
      <c r="H92" s="228"/>
      <c r="I92" s="228"/>
      <c r="J92" s="228"/>
      <c r="K92" s="228"/>
      <c r="L92" s="228"/>
      <c r="M92" s="228"/>
      <c r="N92" s="228"/>
      <c r="O92" s="228"/>
    </row>
    <row r="93" spans="1:98" s="227" customFormat="1" outlineLevel="1" x14ac:dyDescent="0.25">
      <c r="C93" s="638" t="s">
        <v>34</v>
      </c>
      <c r="D93" s="650">
        <v>-45</v>
      </c>
      <c r="E93" s="651">
        <v>-50</v>
      </c>
      <c r="F93" s="228"/>
      <c r="G93" s="228"/>
      <c r="H93" s="228"/>
      <c r="I93" s="228"/>
      <c r="J93" s="228"/>
      <c r="K93" s="228"/>
      <c r="L93" s="228"/>
      <c r="M93" s="228"/>
      <c r="N93" s="228"/>
      <c r="O93" s="228"/>
    </row>
    <row r="94" spans="1:98" s="227" customFormat="1" outlineLevel="1" x14ac:dyDescent="0.25">
      <c r="C94" s="638" t="s">
        <v>35</v>
      </c>
      <c r="D94" s="651">
        <f>SUM(D91:D93)</f>
        <v>60</v>
      </c>
      <c r="E94" s="651">
        <f>SUM(E91:E93)</f>
        <v>58.5</v>
      </c>
      <c r="F94" s="228"/>
      <c r="G94" s="228"/>
      <c r="H94" s="228"/>
      <c r="I94" s="228"/>
      <c r="J94" s="228"/>
      <c r="K94" s="228"/>
      <c r="L94" s="228"/>
      <c r="M94" s="228"/>
      <c r="N94" s="228"/>
      <c r="O94" s="228"/>
    </row>
    <row r="95" spans="1:98" s="227" customFormat="1" outlineLevel="1" x14ac:dyDescent="0.25">
      <c r="C95" s="638" t="s">
        <v>36</v>
      </c>
      <c r="D95" s="650">
        <v>-6</v>
      </c>
      <c r="E95" s="651">
        <v>-6.75</v>
      </c>
      <c r="F95" s="228"/>
      <c r="G95" s="228"/>
      <c r="H95" s="228"/>
      <c r="I95" s="228"/>
      <c r="J95" s="228"/>
      <c r="K95" s="228"/>
      <c r="L95" s="228"/>
      <c r="M95" s="228"/>
      <c r="N95" s="228"/>
      <c r="O95" s="228"/>
    </row>
    <row r="96" spans="1:98" s="227" customFormat="1" outlineLevel="1" x14ac:dyDescent="0.25">
      <c r="C96" s="638" t="s">
        <v>37</v>
      </c>
      <c r="D96" s="651">
        <f>SUM(D94:D95)</f>
        <v>54</v>
      </c>
      <c r="E96" s="651">
        <f>SUM(E94:E95)</f>
        <v>51.75</v>
      </c>
      <c r="F96" s="228"/>
      <c r="G96" s="228"/>
      <c r="H96" s="228"/>
      <c r="I96" s="228"/>
      <c r="J96" s="228"/>
      <c r="K96" s="228"/>
      <c r="L96" s="228"/>
      <c r="M96" s="228"/>
      <c r="N96" s="228"/>
      <c r="O96" s="228"/>
    </row>
    <row r="97" spans="1:97" s="227" customFormat="1" outlineLevel="1" x14ac:dyDescent="0.25">
      <c r="C97" s="638" t="s">
        <v>38</v>
      </c>
      <c r="D97" s="651">
        <f>-D96*$E$119</f>
        <v>-13.5</v>
      </c>
      <c r="E97" s="651">
        <f>-E96*$E$119</f>
        <v>-12.9375</v>
      </c>
      <c r="F97" s="228"/>
      <c r="G97" s="228"/>
      <c r="H97" s="228"/>
      <c r="I97" s="228"/>
      <c r="J97" s="228"/>
      <c r="K97" s="228"/>
      <c r="L97" s="228"/>
      <c r="M97" s="228"/>
      <c r="N97" s="228"/>
      <c r="O97" s="228"/>
    </row>
    <row r="98" spans="1:97" s="227" customFormat="1" outlineLevel="1" x14ac:dyDescent="0.25">
      <c r="C98" s="638" t="s">
        <v>39</v>
      </c>
      <c r="D98" s="650">
        <f>SUM(D96:D97)</f>
        <v>40.5</v>
      </c>
      <c r="E98" s="651">
        <f>SUM(E96:E97)</f>
        <v>38.8125</v>
      </c>
      <c r="F98" s="228"/>
      <c r="G98" s="228"/>
      <c r="H98" s="228"/>
      <c r="I98" s="228"/>
      <c r="J98" s="228"/>
      <c r="K98" s="228"/>
      <c r="L98" s="228"/>
      <c r="M98" s="228"/>
      <c r="N98" s="228"/>
      <c r="O98" s="228"/>
    </row>
    <row r="99" spans="1:97" s="227" customFormat="1" outlineLevel="1" x14ac:dyDescent="0.25">
      <c r="C99" s="638"/>
      <c r="D99" s="650"/>
      <c r="E99" s="651"/>
      <c r="F99" s="228"/>
      <c r="G99" s="228"/>
      <c r="H99" s="228"/>
      <c r="I99" s="228"/>
      <c r="J99" s="228"/>
      <c r="K99" s="228"/>
      <c r="L99" s="228"/>
      <c r="M99" s="228"/>
      <c r="N99" s="228"/>
      <c r="O99" s="228"/>
    </row>
    <row r="100" spans="1:97" s="227" customFormat="1" outlineLevel="1" x14ac:dyDescent="0.25">
      <c r="C100" s="531" t="s">
        <v>40</v>
      </c>
      <c r="D100" s="532"/>
      <c r="E100" s="533"/>
      <c r="F100" s="228"/>
      <c r="G100" s="228"/>
      <c r="H100" s="228"/>
      <c r="I100" s="228"/>
      <c r="J100" s="228"/>
      <c r="K100" s="228"/>
      <c r="L100" s="228"/>
      <c r="M100" s="228"/>
      <c r="N100" s="228"/>
      <c r="O100" s="228"/>
    </row>
    <row r="101" spans="1:97" s="227" customFormat="1" outlineLevel="1" x14ac:dyDescent="0.25">
      <c r="C101" s="638" t="s">
        <v>41</v>
      </c>
      <c r="D101" s="651">
        <v>194</v>
      </c>
      <c r="E101" s="650">
        <v>212</v>
      </c>
      <c r="F101" s="228"/>
      <c r="G101" s="228"/>
      <c r="H101" s="228"/>
      <c r="I101" s="228"/>
      <c r="J101" s="228"/>
      <c r="K101" s="228"/>
      <c r="L101" s="228"/>
      <c r="M101" s="228"/>
      <c r="N101" s="228"/>
      <c r="O101" s="228"/>
    </row>
    <row r="102" spans="1:97" s="227" customFormat="1" outlineLevel="1" x14ac:dyDescent="0.25">
      <c r="C102" s="638" t="s">
        <v>42</v>
      </c>
      <c r="D102" s="647">
        <v>7</v>
      </c>
      <c r="E102" s="650">
        <v>8</v>
      </c>
      <c r="F102" s="228"/>
      <c r="G102" s="228"/>
      <c r="H102" s="228"/>
      <c r="I102" s="228"/>
      <c r="J102" s="228"/>
      <c r="K102" s="228"/>
      <c r="L102" s="228"/>
      <c r="M102" s="228"/>
      <c r="N102" s="228"/>
      <c r="O102" s="228"/>
    </row>
    <row r="103" spans="1:97" s="227" customFormat="1" outlineLevel="1" x14ac:dyDescent="0.25">
      <c r="C103" s="227" t="s">
        <v>43</v>
      </c>
      <c r="D103" s="530">
        <f>SUM(D101:D102)</f>
        <v>201</v>
      </c>
      <c r="E103" s="530">
        <f>SUM(E101:E102)</f>
        <v>220</v>
      </c>
      <c r="F103" s="228"/>
      <c r="G103" s="228"/>
      <c r="H103" s="228"/>
      <c r="I103" s="228"/>
      <c r="J103" s="228"/>
      <c r="K103" s="228"/>
      <c r="L103" s="228"/>
      <c r="M103" s="228"/>
      <c r="N103" s="228"/>
      <c r="O103" s="228"/>
    </row>
    <row r="104" spans="1:97" s="227" customFormat="1" outlineLevel="1" x14ac:dyDescent="0.25">
      <c r="C104" s="638" t="s">
        <v>44</v>
      </c>
      <c r="D104" s="647">
        <v>131</v>
      </c>
      <c r="E104" s="650">
        <v>150</v>
      </c>
      <c r="F104" s="228"/>
      <c r="G104" s="228"/>
      <c r="H104" s="228"/>
      <c r="I104" s="228"/>
      <c r="J104" s="228"/>
      <c r="K104" s="228"/>
      <c r="L104" s="228"/>
      <c r="M104" s="228"/>
      <c r="N104" s="228"/>
      <c r="O104" s="228"/>
    </row>
    <row r="105" spans="1:97" s="227" customFormat="1" outlineLevel="1" x14ac:dyDescent="0.25">
      <c r="C105" s="638" t="s">
        <v>45</v>
      </c>
      <c r="D105" s="647">
        <v>70</v>
      </c>
      <c r="E105" s="650">
        <v>70</v>
      </c>
      <c r="F105" s="228"/>
      <c r="G105" s="228"/>
      <c r="H105" s="228"/>
      <c r="I105" s="228"/>
      <c r="J105" s="228"/>
      <c r="K105" s="228"/>
      <c r="L105" s="228"/>
      <c r="M105" s="228"/>
      <c r="N105" s="228"/>
      <c r="O105" s="228"/>
    </row>
    <row r="106" spans="1:97" s="227" customFormat="1" outlineLevel="1" x14ac:dyDescent="0.25">
      <c r="C106" s="227" t="s">
        <v>46</v>
      </c>
      <c r="D106" s="530">
        <f>SUM(D104:D105)</f>
        <v>201</v>
      </c>
      <c r="E106" s="530">
        <f>SUM(E104:E105)</f>
        <v>220</v>
      </c>
      <c r="F106" s="228"/>
      <c r="G106" s="228"/>
      <c r="H106" s="228"/>
      <c r="I106" s="228"/>
      <c r="J106" s="228"/>
      <c r="K106" s="228"/>
      <c r="L106" s="228"/>
      <c r="M106" s="228"/>
      <c r="N106" s="228"/>
      <c r="O106" s="228"/>
    </row>
    <row r="107" spans="1:97" s="227" customFormat="1" outlineLevel="1" x14ac:dyDescent="0.25">
      <c r="C107" s="638"/>
      <c r="D107" s="650"/>
      <c r="E107" s="651"/>
      <c r="F107" s="228"/>
      <c r="G107" s="228"/>
      <c r="H107" s="228"/>
      <c r="I107" s="228"/>
      <c r="J107" s="228"/>
      <c r="K107" s="228"/>
      <c r="L107" s="228"/>
      <c r="M107" s="228"/>
      <c r="N107" s="228"/>
      <c r="O107" s="228"/>
    </row>
    <row r="108" spans="1:97" s="227" customFormat="1" outlineLevel="1" x14ac:dyDescent="0.25">
      <c r="C108" s="638"/>
      <c r="D108" s="650"/>
      <c r="E108" s="651"/>
      <c r="F108" s="228"/>
      <c r="G108" s="228"/>
      <c r="H108" s="228"/>
      <c r="I108" s="228"/>
      <c r="J108" s="228"/>
      <c r="K108" s="228"/>
      <c r="L108" s="228"/>
      <c r="M108" s="228"/>
      <c r="N108" s="228"/>
      <c r="O108" s="228"/>
    </row>
    <row r="109" spans="1:97" s="221" customFormat="1" outlineLevel="1" x14ac:dyDescent="0.25">
      <c r="C109" s="221" t="s">
        <v>47</v>
      </c>
      <c r="D109" s="222"/>
      <c r="E109" s="223">
        <f>E86</f>
        <v>2024</v>
      </c>
      <c r="F109" s="223">
        <f>E109+1</f>
        <v>2025</v>
      </c>
      <c r="G109" s="223">
        <f t="shared" ref="G109" si="0">F109+1</f>
        <v>2026</v>
      </c>
      <c r="H109" s="223">
        <f t="shared" ref="H109" si="1">G109+1</f>
        <v>2027</v>
      </c>
      <c r="I109" s="223">
        <f t="shared" ref="I109" si="2">H109+1</f>
        <v>2028</v>
      </c>
      <c r="J109" s="223">
        <f t="shared" ref="J109" si="3">I109+1</f>
        <v>2029</v>
      </c>
      <c r="K109" s="223">
        <f t="shared" ref="K109" si="4">J109+1</f>
        <v>2030</v>
      </c>
      <c r="L109" s="223">
        <f t="shared" ref="L109" si="5">K109+1</f>
        <v>2031</v>
      </c>
      <c r="M109" s="223">
        <f t="shared" ref="M109" si="6">L109+1</f>
        <v>2032</v>
      </c>
      <c r="N109" s="223">
        <f t="shared" ref="N109" si="7">M109+1</f>
        <v>2033</v>
      </c>
      <c r="O109" s="223">
        <f t="shared" ref="O109" si="8">N109+1</f>
        <v>2034</v>
      </c>
      <c r="P109" s="223"/>
      <c r="Q109" s="227"/>
      <c r="R109" s="227"/>
      <c r="S109" s="227"/>
      <c r="T109" s="227"/>
      <c r="U109" s="227"/>
      <c r="V109" s="227"/>
      <c r="W109" s="227"/>
      <c r="X109" s="227"/>
      <c r="Y109" s="227"/>
      <c r="Z109" s="227"/>
      <c r="AA109" s="227"/>
      <c r="AB109" s="227"/>
      <c r="AC109" s="227"/>
      <c r="AD109" s="227"/>
      <c r="AE109" s="227"/>
      <c r="AF109" s="227"/>
      <c r="AG109" s="227"/>
      <c r="AH109" s="227"/>
      <c r="AI109" s="227"/>
      <c r="AJ109" s="227"/>
      <c r="AK109" s="227"/>
      <c r="AL109" s="227"/>
      <c r="AM109" s="227"/>
      <c r="AN109" s="227"/>
      <c r="AO109" s="227"/>
      <c r="AP109" s="227"/>
      <c r="AQ109" s="227"/>
      <c r="AR109" s="227"/>
      <c r="AS109" s="227"/>
      <c r="AT109" s="227"/>
      <c r="AU109" s="227"/>
      <c r="AV109" s="227"/>
      <c r="AW109" s="227"/>
      <c r="AX109" s="227"/>
      <c r="AY109" s="227"/>
      <c r="AZ109" s="227"/>
      <c r="BA109" s="227"/>
      <c r="BB109" s="227"/>
      <c r="BC109" s="227"/>
      <c r="BD109" s="227"/>
      <c r="BE109" s="227"/>
      <c r="BF109" s="227"/>
      <c r="BG109" s="227"/>
      <c r="BH109" s="227"/>
      <c r="BI109" s="227"/>
      <c r="BJ109" s="227"/>
      <c r="BK109" s="227"/>
      <c r="BL109" s="227"/>
      <c r="BM109" s="227"/>
      <c r="BN109" s="227"/>
      <c r="BO109" s="227"/>
      <c r="BP109" s="227"/>
      <c r="BQ109" s="227"/>
      <c r="BR109" s="227"/>
      <c r="BS109" s="227"/>
      <c r="BT109" s="227"/>
      <c r="BU109" s="227"/>
      <c r="BV109" s="227"/>
      <c r="BW109" s="227"/>
      <c r="BX109" s="227"/>
      <c r="BY109" s="227"/>
      <c r="BZ109" s="227"/>
      <c r="CA109" s="227"/>
      <c r="CB109" s="227"/>
      <c r="CC109" s="227"/>
      <c r="CD109" s="227"/>
      <c r="CE109" s="227"/>
      <c r="CF109" s="227"/>
      <c r="CG109" s="227"/>
      <c r="CH109" s="227"/>
      <c r="CI109" s="227"/>
      <c r="CJ109" s="227"/>
      <c r="CK109" s="227"/>
      <c r="CL109" s="227"/>
      <c r="CM109" s="227"/>
      <c r="CN109" s="227"/>
      <c r="CO109" s="227"/>
      <c r="CP109" s="227"/>
      <c r="CQ109" s="227"/>
      <c r="CR109" s="227"/>
      <c r="CS109" s="227"/>
    </row>
    <row r="110" spans="1:97" s="424" customFormat="1" outlineLevel="1" x14ac:dyDescent="0.25">
      <c r="A110" s="638"/>
      <c r="B110" s="646"/>
      <c r="C110" s="652" t="s">
        <v>48</v>
      </c>
      <c r="D110" s="647" t="s">
        <v>13</v>
      </c>
      <c r="E110" s="653">
        <f>E91</f>
        <v>170</v>
      </c>
      <c r="F110" s="647"/>
      <c r="G110" s="647"/>
      <c r="H110" s="647"/>
      <c r="I110" s="647"/>
      <c r="J110" s="647"/>
      <c r="K110" s="647"/>
      <c r="L110" s="647"/>
      <c r="M110" s="647"/>
      <c r="N110" s="647"/>
      <c r="O110" s="647"/>
      <c r="P110" s="638"/>
      <c r="Q110" s="638"/>
      <c r="R110" s="638"/>
      <c r="S110" s="638"/>
      <c r="T110" s="638"/>
      <c r="U110" s="638"/>
      <c r="V110" s="638"/>
      <c r="W110" s="638"/>
      <c r="X110" s="638"/>
      <c r="Y110" s="638"/>
      <c r="Z110" s="638"/>
      <c r="AA110" s="638"/>
      <c r="AB110" s="638"/>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c r="BJ110" s="638"/>
      <c r="BK110" s="638"/>
      <c r="BL110" s="638"/>
      <c r="BM110" s="638"/>
      <c r="BN110" s="638"/>
      <c r="BO110" s="638"/>
      <c r="BP110" s="638"/>
      <c r="BQ110" s="638"/>
      <c r="BR110" s="638"/>
      <c r="BS110" s="638"/>
      <c r="BT110" s="638"/>
      <c r="BU110" s="638"/>
      <c r="BV110" s="638"/>
      <c r="BW110" s="638"/>
      <c r="BX110" s="638"/>
      <c r="BY110" s="638"/>
      <c r="BZ110" s="638"/>
      <c r="CA110" s="638"/>
      <c r="CB110" s="638"/>
      <c r="CC110" s="638"/>
      <c r="CD110" s="638"/>
      <c r="CE110" s="638"/>
      <c r="CF110" s="638"/>
      <c r="CG110" s="638"/>
      <c r="CH110" s="638"/>
      <c r="CI110" s="638"/>
      <c r="CJ110" s="638"/>
      <c r="CK110" s="638"/>
      <c r="CL110" s="638"/>
      <c r="CM110" s="638"/>
      <c r="CN110" s="638"/>
      <c r="CO110" s="638"/>
      <c r="CP110" s="638"/>
      <c r="CQ110" s="638"/>
      <c r="CR110" s="638"/>
      <c r="CS110" s="638"/>
    </row>
    <row r="111" spans="1:97" s="424" customFormat="1" outlineLevel="1" x14ac:dyDescent="0.25">
      <c r="A111" s="638"/>
      <c r="B111" s="646"/>
      <c r="C111" s="436" t="s">
        <v>49</v>
      </c>
      <c r="D111" s="439" t="s">
        <v>12</v>
      </c>
      <c r="E111" s="453"/>
      <c r="F111" s="516">
        <v>0.12</v>
      </c>
      <c r="G111" s="516">
        <v>0.09</v>
      </c>
      <c r="H111" s="516">
        <v>0.09</v>
      </c>
      <c r="I111" s="516">
        <v>7.0000000000000007E-2</v>
      </c>
      <c r="J111" s="516">
        <v>7.0000000000000007E-2</v>
      </c>
      <c r="K111" s="516">
        <v>7.0000000000000007E-2</v>
      </c>
      <c r="L111" s="516">
        <v>0.05</v>
      </c>
      <c r="M111" s="516">
        <v>0.05</v>
      </c>
      <c r="N111" s="516">
        <v>0.02</v>
      </c>
      <c r="O111" s="516">
        <v>0.02</v>
      </c>
      <c r="P111" s="638"/>
      <c r="Q111" s="638"/>
      <c r="R111" s="638"/>
      <c r="S111" s="638"/>
      <c r="T111" s="638"/>
      <c r="U111" s="638"/>
      <c r="V111" s="638"/>
      <c r="W111" s="638"/>
      <c r="X111" s="638"/>
      <c r="Y111" s="638"/>
      <c r="Z111" s="638"/>
      <c r="AA111" s="638"/>
      <c r="AB111" s="638"/>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c r="BJ111" s="638"/>
      <c r="BK111" s="638"/>
      <c r="BL111" s="638"/>
      <c r="BM111" s="638"/>
      <c r="BN111" s="638"/>
      <c r="BO111" s="638"/>
      <c r="BP111" s="638"/>
      <c r="BQ111" s="638"/>
      <c r="BR111" s="638"/>
      <c r="BS111" s="638"/>
      <c r="BT111" s="638"/>
      <c r="BU111" s="638"/>
      <c r="BV111" s="638"/>
      <c r="BW111" s="638"/>
      <c r="BX111" s="638"/>
      <c r="BY111" s="638"/>
      <c r="BZ111" s="638"/>
      <c r="CA111" s="638"/>
      <c r="CB111" s="638"/>
      <c r="CC111" s="638"/>
      <c r="CD111" s="638"/>
      <c r="CE111" s="638"/>
      <c r="CF111" s="638"/>
      <c r="CG111" s="638"/>
      <c r="CH111" s="638"/>
      <c r="CI111" s="638"/>
      <c r="CJ111" s="638"/>
      <c r="CK111" s="638"/>
      <c r="CL111" s="638"/>
      <c r="CM111" s="638"/>
      <c r="CN111" s="638"/>
      <c r="CO111" s="638"/>
      <c r="CP111" s="638"/>
      <c r="CQ111" s="638"/>
      <c r="CR111" s="638"/>
      <c r="CS111" s="638"/>
    </row>
    <row r="112" spans="1:97" s="424" customFormat="1" outlineLevel="1" x14ac:dyDescent="0.25">
      <c r="A112" s="638"/>
      <c r="B112" s="646"/>
      <c r="C112" s="638" t="s">
        <v>50</v>
      </c>
      <c r="D112" s="647" t="s">
        <v>12</v>
      </c>
      <c r="E112" s="648">
        <v>0.45</v>
      </c>
      <c r="F112" s="517">
        <v>0.47</v>
      </c>
      <c r="G112" s="517">
        <v>0.5</v>
      </c>
      <c r="H112" s="517">
        <v>0.5</v>
      </c>
      <c r="I112" s="517">
        <v>0.52</v>
      </c>
      <c r="J112" s="517">
        <v>0.52</v>
      </c>
      <c r="K112" s="517">
        <v>0.47</v>
      </c>
      <c r="L112" s="517">
        <v>0.42</v>
      </c>
      <c r="M112" s="517">
        <v>0.42</v>
      </c>
      <c r="N112" s="517">
        <v>0.42</v>
      </c>
      <c r="O112" s="517">
        <v>0.42</v>
      </c>
      <c r="P112" s="638"/>
      <c r="Q112" s="638"/>
      <c r="R112" s="638"/>
      <c r="S112" s="638"/>
      <c r="T112" s="638"/>
      <c r="U112" s="638"/>
      <c r="V112" s="638"/>
      <c r="W112" s="638"/>
      <c r="X112" s="638"/>
      <c r="Y112" s="638"/>
      <c r="Z112" s="638"/>
      <c r="AA112" s="638"/>
      <c r="AB112" s="638"/>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c r="BJ112" s="638"/>
      <c r="BK112" s="638"/>
      <c r="BL112" s="638"/>
      <c r="BM112" s="638"/>
      <c r="BN112" s="638"/>
      <c r="BO112" s="638"/>
      <c r="BP112" s="638"/>
      <c r="BQ112" s="638"/>
      <c r="BR112" s="638"/>
      <c r="BS112" s="638"/>
      <c r="BT112" s="638"/>
      <c r="BU112" s="638"/>
      <c r="BV112" s="638"/>
      <c r="BW112" s="638"/>
      <c r="BX112" s="638"/>
      <c r="BY112" s="638"/>
      <c r="BZ112" s="638"/>
      <c r="CA112" s="638"/>
      <c r="CB112" s="638"/>
      <c r="CC112" s="638"/>
      <c r="CD112" s="638"/>
      <c r="CE112" s="638"/>
      <c r="CF112" s="638"/>
      <c r="CG112" s="638"/>
      <c r="CH112" s="638"/>
      <c r="CI112" s="638"/>
      <c r="CJ112" s="638"/>
      <c r="CK112" s="638"/>
      <c r="CL112" s="638"/>
      <c r="CM112" s="638"/>
      <c r="CN112" s="638"/>
      <c r="CO112" s="638"/>
      <c r="CP112" s="638"/>
      <c r="CQ112" s="638"/>
      <c r="CR112" s="638"/>
      <c r="CS112" s="638"/>
    </row>
    <row r="113" spans="1:97" s="424" customFormat="1" outlineLevel="1" x14ac:dyDescent="0.25">
      <c r="A113" s="638"/>
      <c r="B113" s="646"/>
      <c r="C113" s="436" t="s">
        <v>51</v>
      </c>
      <c r="D113" s="647" t="s">
        <v>13</v>
      </c>
      <c r="E113" s="654">
        <v>18</v>
      </c>
      <c r="F113" s="655"/>
      <c r="G113" s="655"/>
      <c r="H113" s="655"/>
      <c r="I113" s="655"/>
      <c r="J113" s="655"/>
      <c r="K113" s="655"/>
      <c r="L113" s="655"/>
      <c r="M113" s="655"/>
      <c r="N113" s="655"/>
      <c r="O113" s="655"/>
      <c r="P113" s="638"/>
      <c r="Q113" s="638"/>
      <c r="R113" s="638"/>
      <c r="S113" s="638"/>
      <c r="T113" s="638"/>
      <c r="U113" s="638"/>
      <c r="V113" s="638"/>
      <c r="W113" s="638"/>
      <c r="X113" s="638"/>
      <c r="Y113" s="638"/>
      <c r="Z113" s="638"/>
      <c r="AA113" s="638"/>
      <c r="AB113" s="638"/>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c r="BJ113" s="638"/>
      <c r="BK113" s="638"/>
      <c r="BL113" s="638"/>
      <c r="BM113" s="638"/>
      <c r="BN113" s="638"/>
      <c r="BO113" s="638"/>
      <c r="BP113" s="638"/>
      <c r="BQ113" s="638"/>
      <c r="BR113" s="638"/>
      <c r="BS113" s="638"/>
      <c r="BT113" s="638"/>
      <c r="BU113" s="638"/>
      <c r="BV113" s="638"/>
      <c r="BW113" s="638"/>
      <c r="BX113" s="638"/>
      <c r="BY113" s="638"/>
      <c r="BZ113" s="638"/>
      <c r="CA113" s="638"/>
      <c r="CB113" s="638"/>
      <c r="CC113" s="638"/>
      <c r="CD113" s="638"/>
      <c r="CE113" s="638"/>
      <c r="CF113" s="638"/>
      <c r="CG113" s="638"/>
      <c r="CH113" s="638"/>
      <c r="CI113" s="638"/>
      <c r="CJ113" s="638"/>
      <c r="CK113" s="638"/>
      <c r="CL113" s="638"/>
      <c r="CM113" s="638"/>
      <c r="CN113" s="638"/>
      <c r="CO113" s="638"/>
      <c r="CP113" s="638"/>
      <c r="CQ113" s="638"/>
      <c r="CR113" s="638"/>
      <c r="CS113" s="638"/>
    </row>
    <row r="114" spans="1:97" s="424" customFormat="1" outlineLevel="1" x14ac:dyDescent="0.25">
      <c r="A114" s="638"/>
      <c r="B114" s="646"/>
      <c r="C114" s="436" t="s">
        <v>52</v>
      </c>
      <c r="D114" s="647"/>
      <c r="E114" s="656">
        <v>0.1</v>
      </c>
      <c r="F114" s="655"/>
      <c r="G114" s="655"/>
      <c r="H114" s="655"/>
      <c r="I114" s="655"/>
      <c r="J114" s="655"/>
      <c r="K114" s="655"/>
      <c r="L114" s="655"/>
      <c r="M114" s="655"/>
      <c r="N114" s="655"/>
      <c r="O114" s="655"/>
      <c r="P114" s="638"/>
      <c r="Q114" s="638"/>
      <c r="R114" s="638"/>
      <c r="S114" s="638"/>
      <c r="T114" s="638"/>
      <c r="U114" s="638"/>
      <c r="V114" s="638"/>
      <c r="W114" s="638"/>
      <c r="X114" s="638"/>
      <c r="Y114" s="638"/>
      <c r="Z114" s="638"/>
      <c r="AA114" s="638"/>
      <c r="AB114" s="638"/>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c r="BJ114" s="638"/>
      <c r="BK114" s="638"/>
      <c r="BL114" s="638"/>
      <c r="BM114" s="638"/>
      <c r="BN114" s="638"/>
      <c r="BO114" s="638"/>
      <c r="BP114" s="638"/>
      <c r="BQ114" s="638"/>
      <c r="BR114" s="638"/>
      <c r="BS114" s="638"/>
      <c r="BT114" s="638"/>
      <c r="BU114" s="638"/>
      <c r="BV114" s="638"/>
      <c r="BW114" s="638"/>
      <c r="BX114" s="638"/>
      <c r="BY114" s="638"/>
      <c r="BZ114" s="638"/>
      <c r="CA114" s="638"/>
      <c r="CB114" s="638"/>
      <c r="CC114" s="638"/>
      <c r="CD114" s="638"/>
      <c r="CE114" s="638"/>
      <c r="CF114" s="638"/>
      <c r="CG114" s="638"/>
      <c r="CH114" s="638"/>
      <c r="CI114" s="638"/>
      <c r="CJ114" s="638"/>
      <c r="CK114" s="638"/>
      <c r="CL114" s="638"/>
      <c r="CM114" s="638"/>
      <c r="CN114" s="638"/>
      <c r="CO114" s="638"/>
      <c r="CP114" s="638"/>
      <c r="CQ114" s="638"/>
      <c r="CR114" s="638"/>
      <c r="CS114" s="638"/>
    </row>
    <row r="115" spans="1:97" s="424" customFormat="1" outlineLevel="1" x14ac:dyDescent="0.25">
      <c r="A115" s="638"/>
      <c r="B115" s="646"/>
      <c r="C115" s="436" t="s">
        <v>53</v>
      </c>
      <c r="D115" s="647" t="s">
        <v>13</v>
      </c>
      <c r="E115" s="515">
        <v>18</v>
      </c>
      <c r="F115" s="655"/>
      <c r="G115" s="655"/>
      <c r="H115" s="655"/>
      <c r="I115" s="655"/>
      <c r="J115" s="655"/>
      <c r="K115" s="655"/>
      <c r="L115" s="655"/>
      <c r="M115" s="655"/>
      <c r="N115" s="655"/>
      <c r="O115" s="655"/>
      <c r="P115" s="638"/>
      <c r="Q115" s="638"/>
      <c r="R115" s="638"/>
      <c r="S115" s="638"/>
      <c r="T115" s="638"/>
      <c r="U115" s="638"/>
      <c r="V115" s="638"/>
      <c r="W115" s="638"/>
      <c r="X115" s="638"/>
      <c r="Y115" s="638"/>
      <c r="Z115" s="638"/>
      <c r="AA115" s="638"/>
      <c r="AB115" s="638"/>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c r="BJ115" s="638"/>
      <c r="BK115" s="638"/>
      <c r="BL115" s="638"/>
      <c r="BM115" s="638"/>
      <c r="BN115" s="638"/>
      <c r="BO115" s="638"/>
      <c r="BP115" s="638"/>
      <c r="BQ115" s="638"/>
      <c r="BR115" s="638"/>
      <c r="BS115" s="638"/>
      <c r="BT115" s="638"/>
      <c r="BU115" s="638"/>
      <c r="BV115" s="638"/>
      <c r="BW115" s="638"/>
      <c r="BX115" s="638"/>
      <c r="BY115" s="638"/>
      <c r="BZ115" s="638"/>
      <c r="CA115" s="638"/>
      <c r="CB115" s="638"/>
      <c r="CC115" s="638"/>
      <c r="CD115" s="638"/>
      <c r="CE115" s="638"/>
      <c r="CF115" s="638"/>
      <c r="CG115" s="638"/>
      <c r="CH115" s="638"/>
      <c r="CI115" s="638"/>
      <c r="CJ115" s="638"/>
      <c r="CK115" s="638"/>
      <c r="CL115" s="638"/>
      <c r="CM115" s="638"/>
      <c r="CN115" s="638"/>
      <c r="CO115" s="638"/>
      <c r="CP115" s="638"/>
      <c r="CQ115" s="638"/>
      <c r="CR115" s="638"/>
      <c r="CS115" s="638"/>
    </row>
    <row r="116" spans="1:97" s="227" customFormat="1" outlineLevel="1" x14ac:dyDescent="0.25">
      <c r="C116" s="638" t="s">
        <v>54</v>
      </c>
      <c r="D116" s="423"/>
      <c r="E116" s="648">
        <v>0.1</v>
      </c>
      <c r="F116" s="228"/>
      <c r="G116" s="228"/>
      <c r="H116" s="228"/>
      <c r="I116" s="228"/>
      <c r="J116" s="228"/>
      <c r="K116" s="228"/>
      <c r="L116" s="228"/>
      <c r="M116" s="228"/>
      <c r="N116" s="228"/>
      <c r="O116" s="228"/>
    </row>
    <row r="117" spans="1:97" s="424" customFormat="1" outlineLevel="1" x14ac:dyDescent="0.25">
      <c r="A117" s="638"/>
      <c r="B117" s="646"/>
      <c r="C117" s="436" t="s">
        <v>55</v>
      </c>
      <c r="D117" s="647" t="s">
        <v>12</v>
      </c>
      <c r="E117" s="657">
        <v>1.4999999999999999E-2</v>
      </c>
      <c r="F117" s="638"/>
      <c r="G117" s="638"/>
      <c r="H117" s="638"/>
      <c r="I117" s="638"/>
      <c r="J117" s="638"/>
      <c r="K117" s="638"/>
      <c r="L117" s="638"/>
      <c r="M117" s="638"/>
      <c r="N117" s="638"/>
      <c r="O117" s="638"/>
      <c r="P117" s="638"/>
      <c r="Q117" s="638"/>
      <c r="R117" s="638"/>
      <c r="S117" s="638"/>
      <c r="T117" s="638"/>
      <c r="U117" s="638"/>
      <c r="V117" s="638"/>
      <c r="W117" s="638"/>
      <c r="X117" s="638"/>
      <c r="Y117" s="638"/>
      <c r="Z117" s="638"/>
      <c r="AA117" s="638"/>
      <c r="AB117" s="638"/>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c r="BJ117" s="638"/>
      <c r="BK117" s="638"/>
      <c r="BL117" s="638"/>
      <c r="BM117" s="638"/>
      <c r="BN117" s="638"/>
      <c r="BO117" s="638"/>
      <c r="BP117" s="638"/>
      <c r="BQ117" s="638"/>
      <c r="BR117" s="638"/>
      <c r="BS117" s="638"/>
      <c r="BT117" s="638"/>
      <c r="BU117" s="638"/>
      <c r="BV117" s="638"/>
      <c r="BW117" s="638"/>
      <c r="BX117" s="638"/>
      <c r="BY117" s="638"/>
      <c r="BZ117" s="638"/>
      <c r="CA117" s="638"/>
      <c r="CB117" s="638"/>
      <c r="CC117" s="638"/>
      <c r="CD117" s="638"/>
      <c r="CE117" s="638"/>
      <c r="CF117" s="638"/>
      <c r="CG117" s="638"/>
      <c r="CH117" s="638"/>
      <c r="CI117" s="638"/>
      <c r="CJ117" s="638"/>
      <c r="CK117" s="638"/>
      <c r="CL117" s="638"/>
      <c r="CM117" s="638"/>
      <c r="CN117" s="638"/>
      <c r="CO117" s="638"/>
      <c r="CP117" s="638"/>
      <c r="CQ117" s="638"/>
      <c r="CR117" s="638"/>
      <c r="CS117" s="638"/>
    </row>
    <row r="118" spans="1:97" s="424" customFormat="1" outlineLevel="1" x14ac:dyDescent="0.25">
      <c r="A118" s="638"/>
      <c r="B118" s="646"/>
      <c r="C118" s="436" t="s">
        <v>56</v>
      </c>
      <c r="D118" s="647" t="s">
        <v>12</v>
      </c>
      <c r="E118" s="657">
        <v>0.08</v>
      </c>
      <c r="F118" s="638"/>
      <c r="G118" s="638"/>
      <c r="H118" s="638"/>
      <c r="I118" s="638"/>
      <c r="J118" s="638"/>
      <c r="K118" s="638"/>
      <c r="L118" s="638"/>
      <c r="M118" s="638"/>
      <c r="N118" s="638"/>
      <c r="O118" s="638"/>
      <c r="P118" s="638"/>
      <c r="Q118" s="638"/>
      <c r="R118" s="638"/>
      <c r="S118" s="638"/>
      <c r="T118" s="638"/>
      <c r="U118" s="638"/>
      <c r="V118" s="638"/>
      <c r="W118" s="638"/>
      <c r="X118" s="638"/>
      <c r="Y118" s="638"/>
      <c r="Z118" s="638"/>
      <c r="AA118" s="638"/>
      <c r="AB118" s="638"/>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c r="BJ118" s="638"/>
      <c r="BK118" s="638"/>
      <c r="BL118" s="638"/>
      <c r="BM118" s="638"/>
      <c r="BN118" s="638"/>
      <c r="BO118" s="638"/>
      <c r="BP118" s="638"/>
      <c r="BQ118" s="638"/>
      <c r="BR118" s="638"/>
      <c r="BS118" s="638"/>
      <c r="BT118" s="638"/>
      <c r="BU118" s="638"/>
      <c r="BV118" s="638"/>
      <c r="BW118" s="638"/>
      <c r="BX118" s="638"/>
      <c r="BY118" s="638"/>
      <c r="BZ118" s="638"/>
      <c r="CA118" s="638"/>
      <c r="CB118" s="638"/>
      <c r="CC118" s="638"/>
      <c r="CD118" s="638"/>
      <c r="CE118" s="638"/>
      <c r="CF118" s="638"/>
      <c r="CG118" s="638"/>
      <c r="CH118" s="638"/>
      <c r="CI118" s="638"/>
      <c r="CJ118" s="638"/>
      <c r="CK118" s="638"/>
      <c r="CL118" s="638"/>
      <c r="CM118" s="638"/>
      <c r="CN118" s="638"/>
      <c r="CO118" s="638"/>
      <c r="CP118" s="638"/>
      <c r="CQ118" s="638"/>
      <c r="CR118" s="638"/>
      <c r="CS118" s="638"/>
    </row>
    <row r="119" spans="1:97" s="424" customFormat="1" outlineLevel="1" x14ac:dyDescent="0.25">
      <c r="A119" s="638"/>
      <c r="B119" s="646"/>
      <c r="C119" s="436" t="s">
        <v>57</v>
      </c>
      <c r="D119" s="647" t="s">
        <v>12</v>
      </c>
      <c r="E119" s="458">
        <v>0.25</v>
      </c>
      <c r="F119" s="638"/>
      <c r="G119" s="638"/>
      <c r="H119" s="638"/>
      <c r="I119" s="638"/>
      <c r="J119" s="638"/>
      <c r="K119" s="638"/>
      <c r="L119" s="638"/>
      <c r="M119" s="638"/>
      <c r="N119" s="638"/>
      <c r="O119" s="638"/>
      <c r="P119" s="638"/>
      <c r="Q119" s="638"/>
      <c r="R119" s="638"/>
      <c r="S119" s="638"/>
      <c r="T119" s="638"/>
      <c r="U119" s="638"/>
      <c r="V119" s="638"/>
      <c r="W119" s="638"/>
      <c r="X119" s="638"/>
      <c r="Y119" s="638"/>
      <c r="Z119" s="638"/>
      <c r="AA119" s="638"/>
      <c r="AB119" s="638"/>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c r="BJ119" s="638"/>
      <c r="BK119" s="638"/>
      <c r="BL119" s="638"/>
      <c r="BM119" s="638"/>
      <c r="BN119" s="638"/>
      <c r="BO119" s="638"/>
      <c r="BP119" s="638"/>
      <c r="BQ119" s="638"/>
      <c r="BR119" s="638"/>
      <c r="BS119" s="638"/>
      <c r="BT119" s="638"/>
      <c r="BU119" s="638"/>
      <c r="BV119" s="638"/>
      <c r="BW119" s="638"/>
      <c r="BX119" s="638"/>
      <c r="BY119" s="638"/>
      <c r="BZ119" s="638"/>
      <c r="CA119" s="638"/>
      <c r="CB119" s="638"/>
      <c r="CC119" s="638"/>
      <c r="CD119" s="638"/>
      <c r="CE119" s="638"/>
      <c r="CF119" s="638"/>
      <c r="CG119" s="638"/>
      <c r="CH119" s="638"/>
      <c r="CI119" s="638"/>
      <c r="CJ119" s="638"/>
      <c r="CK119" s="638"/>
      <c r="CL119" s="638"/>
      <c r="CM119" s="638"/>
      <c r="CN119" s="638"/>
      <c r="CO119" s="638"/>
      <c r="CP119" s="638"/>
      <c r="CQ119" s="638"/>
      <c r="CR119" s="638"/>
      <c r="CS119" s="638"/>
    </row>
    <row r="120" spans="1:97" s="424" customFormat="1" outlineLevel="1" x14ac:dyDescent="0.25">
      <c r="A120" s="638"/>
      <c r="B120" s="646"/>
      <c r="C120" s="436" t="s">
        <v>58</v>
      </c>
      <c r="D120" s="647" t="s">
        <v>12</v>
      </c>
      <c r="E120" s="511">
        <v>4.4999999999999998E-2</v>
      </c>
      <c r="F120" s="638"/>
      <c r="G120" s="638"/>
      <c r="H120" s="638"/>
      <c r="I120" s="638"/>
      <c r="J120" s="638"/>
      <c r="K120" s="638"/>
      <c r="L120" s="638"/>
      <c r="M120" s="638"/>
      <c r="N120" s="638"/>
      <c r="O120" s="638"/>
      <c r="P120" s="638"/>
      <c r="Q120" s="638"/>
      <c r="R120" s="638"/>
      <c r="S120" s="638"/>
      <c r="T120" s="638"/>
      <c r="U120" s="638"/>
      <c r="V120" s="638"/>
      <c r="W120" s="638"/>
      <c r="X120" s="638"/>
      <c r="Y120" s="638"/>
      <c r="Z120" s="638"/>
      <c r="AA120" s="638"/>
      <c r="AB120" s="638"/>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c r="BJ120" s="638"/>
      <c r="BK120" s="638"/>
      <c r="BL120" s="638"/>
      <c r="BM120" s="638"/>
      <c r="BN120" s="638"/>
      <c r="BO120" s="638"/>
      <c r="BP120" s="638"/>
      <c r="BQ120" s="638"/>
      <c r="BR120" s="638"/>
      <c r="BS120" s="638"/>
      <c r="BT120" s="638"/>
      <c r="BU120" s="638"/>
      <c r="BV120" s="638"/>
      <c r="BW120" s="638"/>
      <c r="BX120" s="638"/>
      <c r="BY120" s="638"/>
      <c r="BZ120" s="638"/>
      <c r="CA120" s="638"/>
      <c r="CB120" s="638"/>
      <c r="CC120" s="638"/>
      <c r="CD120" s="638"/>
      <c r="CE120" s="638"/>
      <c r="CF120" s="638"/>
      <c r="CG120" s="638"/>
      <c r="CH120" s="638"/>
      <c r="CI120" s="638"/>
      <c r="CJ120" s="638"/>
      <c r="CK120" s="638"/>
      <c r="CL120" s="638"/>
      <c r="CM120" s="638"/>
      <c r="CN120" s="638"/>
      <c r="CO120" s="638"/>
      <c r="CP120" s="638"/>
      <c r="CQ120" s="638"/>
      <c r="CR120" s="638"/>
      <c r="CS120" s="638"/>
    </row>
    <row r="121" spans="1:97" s="424" customFormat="1" outlineLevel="1" x14ac:dyDescent="0.25">
      <c r="A121" s="638"/>
      <c r="B121" s="646"/>
      <c r="C121" s="436" t="s">
        <v>59</v>
      </c>
      <c r="D121" s="647" t="s">
        <v>13</v>
      </c>
      <c r="E121" s="512">
        <v>0</v>
      </c>
      <c r="F121" s="638"/>
      <c r="G121" s="638"/>
      <c r="H121" s="638"/>
      <c r="I121" s="638"/>
      <c r="J121" s="638"/>
      <c r="K121" s="638"/>
      <c r="L121" s="638"/>
      <c r="M121" s="638"/>
      <c r="N121" s="638"/>
      <c r="O121" s="638"/>
      <c r="P121" s="638"/>
      <c r="Q121" s="638"/>
      <c r="R121" s="638"/>
      <c r="S121" s="638"/>
      <c r="T121" s="638"/>
      <c r="U121" s="638"/>
      <c r="V121" s="638"/>
      <c r="W121" s="638"/>
      <c r="X121" s="638"/>
      <c r="Y121" s="638"/>
      <c r="Z121" s="638"/>
      <c r="AA121" s="638"/>
      <c r="AB121" s="638"/>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c r="BJ121" s="638"/>
      <c r="BK121" s="638"/>
      <c r="BL121" s="638"/>
      <c r="BM121" s="638"/>
      <c r="BN121" s="638"/>
      <c r="BO121" s="638"/>
      <c r="BP121" s="638"/>
      <c r="BQ121" s="638"/>
      <c r="BR121" s="638"/>
      <c r="BS121" s="638"/>
      <c r="BT121" s="638"/>
      <c r="BU121" s="638"/>
      <c r="BV121" s="638"/>
      <c r="BW121" s="638"/>
      <c r="BX121" s="638"/>
      <c r="BY121" s="638"/>
      <c r="BZ121" s="638"/>
      <c r="CA121" s="638"/>
      <c r="CB121" s="638"/>
      <c r="CC121" s="638"/>
      <c r="CD121" s="638"/>
      <c r="CE121" s="638"/>
      <c r="CF121" s="638"/>
      <c r="CG121" s="638"/>
      <c r="CH121" s="638"/>
      <c r="CI121" s="638"/>
      <c r="CJ121" s="638"/>
      <c r="CK121" s="638"/>
      <c r="CL121" s="638"/>
      <c r="CM121" s="638"/>
      <c r="CN121" s="638"/>
      <c r="CO121" s="638"/>
      <c r="CP121" s="638"/>
      <c r="CQ121" s="638"/>
      <c r="CR121" s="638"/>
      <c r="CS121" s="638"/>
    </row>
    <row r="122" spans="1:97" s="424" customFormat="1" outlineLevel="1" x14ac:dyDescent="0.25">
      <c r="A122" s="638"/>
      <c r="B122" s="646"/>
      <c r="C122" s="436" t="s">
        <v>60</v>
      </c>
      <c r="D122" s="647" t="s">
        <v>61</v>
      </c>
      <c r="E122" s="653">
        <v>3000</v>
      </c>
      <c r="F122" s="638"/>
      <c r="G122" s="638"/>
      <c r="H122" s="638"/>
      <c r="I122" s="638"/>
      <c r="J122" s="638"/>
      <c r="K122" s="638"/>
      <c r="L122" s="638"/>
      <c r="M122" s="638"/>
      <c r="N122" s="638"/>
      <c r="O122" s="638"/>
      <c r="P122" s="638"/>
      <c r="Q122" s="638"/>
      <c r="R122" s="638"/>
      <c r="S122" s="638"/>
      <c r="T122" s="638"/>
      <c r="U122" s="638"/>
      <c r="V122" s="638"/>
      <c r="W122" s="638"/>
      <c r="X122" s="638"/>
      <c r="Y122" s="638"/>
      <c r="Z122" s="638"/>
      <c r="AA122" s="638"/>
      <c r="AB122" s="638"/>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c r="BJ122" s="638"/>
      <c r="BK122" s="638"/>
      <c r="BL122" s="638"/>
      <c r="BM122" s="638"/>
      <c r="BN122" s="638"/>
      <c r="BO122" s="638"/>
      <c r="BP122" s="638"/>
      <c r="BQ122" s="638"/>
      <c r="BR122" s="638"/>
      <c r="BS122" s="638"/>
      <c r="BT122" s="638"/>
      <c r="BU122" s="638"/>
      <c r="BV122" s="638"/>
      <c r="BW122" s="638"/>
      <c r="BX122" s="638"/>
      <c r="BY122" s="638"/>
      <c r="BZ122" s="638"/>
      <c r="CA122" s="638"/>
      <c r="CB122" s="638"/>
      <c r="CC122" s="638"/>
      <c r="CD122" s="638"/>
      <c r="CE122" s="638"/>
      <c r="CF122" s="638"/>
      <c r="CG122" s="638"/>
      <c r="CH122" s="638"/>
      <c r="CI122" s="638"/>
      <c r="CJ122" s="638"/>
      <c r="CK122" s="638"/>
      <c r="CL122" s="638"/>
      <c r="CM122" s="638"/>
      <c r="CN122" s="638"/>
      <c r="CO122" s="638"/>
      <c r="CP122" s="638"/>
      <c r="CQ122" s="638"/>
      <c r="CR122" s="638"/>
      <c r="CS122" s="638"/>
    </row>
    <row r="123" spans="1:97" s="424" customFormat="1" outlineLevel="1" x14ac:dyDescent="0.25">
      <c r="A123" s="638"/>
      <c r="B123" s="646"/>
      <c r="C123" s="459" t="s">
        <v>62</v>
      </c>
      <c r="D123" s="658" t="s">
        <v>63</v>
      </c>
      <c r="E123" s="659">
        <v>65</v>
      </c>
      <c r="F123" s="638"/>
      <c r="G123" s="638"/>
      <c r="H123" s="638"/>
      <c r="I123" s="638"/>
      <c r="J123" s="638"/>
      <c r="K123" s="638"/>
      <c r="L123" s="638"/>
      <c r="M123" s="638"/>
      <c r="N123" s="638"/>
      <c r="O123" s="638"/>
      <c r="P123" s="638"/>
      <c r="Q123" s="638"/>
      <c r="R123" s="638"/>
      <c r="S123" s="638"/>
      <c r="T123" s="638"/>
      <c r="U123" s="638"/>
      <c r="V123" s="638"/>
      <c r="W123" s="638"/>
      <c r="X123" s="638"/>
      <c r="Y123" s="638"/>
      <c r="Z123" s="638"/>
      <c r="AA123" s="638"/>
      <c r="AB123" s="638"/>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c r="BJ123" s="638"/>
      <c r="BK123" s="638"/>
      <c r="BL123" s="638"/>
      <c r="BM123" s="638"/>
      <c r="BN123" s="638"/>
      <c r="BO123" s="638"/>
      <c r="BP123" s="638"/>
      <c r="BQ123" s="638"/>
      <c r="BR123" s="638"/>
      <c r="BS123" s="638"/>
      <c r="BT123" s="638"/>
      <c r="BU123" s="638"/>
      <c r="BV123" s="638"/>
      <c r="BW123" s="638"/>
      <c r="BX123" s="638"/>
      <c r="BY123" s="638"/>
      <c r="BZ123" s="638"/>
      <c r="CA123" s="638"/>
      <c r="CB123" s="638"/>
      <c r="CC123" s="638"/>
      <c r="CD123" s="638"/>
      <c r="CE123" s="638"/>
      <c r="CF123" s="638"/>
      <c r="CG123" s="638"/>
      <c r="CH123" s="638"/>
      <c r="CI123" s="638"/>
      <c r="CJ123" s="638"/>
      <c r="CK123" s="638"/>
      <c r="CL123" s="638"/>
      <c r="CM123" s="638"/>
      <c r="CN123" s="638"/>
      <c r="CO123" s="638"/>
      <c r="CP123" s="638"/>
      <c r="CQ123" s="638"/>
      <c r="CR123" s="638"/>
      <c r="CS123" s="638"/>
    </row>
    <row r="124" spans="1:97" s="424" customFormat="1" outlineLevel="1" x14ac:dyDescent="0.25">
      <c r="A124" s="638"/>
      <c r="B124" s="646"/>
      <c r="C124" s="436" t="s">
        <v>64</v>
      </c>
      <c r="D124" s="647" t="s">
        <v>12</v>
      </c>
      <c r="E124" s="660">
        <v>4.4999999999999998E-2</v>
      </c>
      <c r="F124" s="638"/>
      <c r="G124" s="638"/>
      <c r="H124" s="638"/>
      <c r="I124" s="638"/>
      <c r="J124" s="638"/>
      <c r="K124" s="638"/>
      <c r="L124" s="638"/>
      <c r="M124" s="638"/>
      <c r="N124" s="638"/>
      <c r="O124" s="638"/>
      <c r="P124" s="638"/>
      <c r="Q124" s="638"/>
      <c r="R124" s="638"/>
      <c r="S124" s="638"/>
      <c r="T124" s="638"/>
      <c r="U124" s="638"/>
      <c r="V124" s="638"/>
      <c r="W124" s="638"/>
      <c r="X124" s="638"/>
      <c r="Y124" s="638"/>
      <c r="Z124" s="638"/>
      <c r="AA124" s="638"/>
      <c r="AB124" s="638"/>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c r="BJ124" s="638"/>
      <c r="BK124" s="638"/>
      <c r="BL124" s="638"/>
      <c r="BM124" s="638"/>
      <c r="BN124" s="638"/>
      <c r="BO124" s="638"/>
      <c r="BP124" s="638"/>
      <c r="BQ124" s="638"/>
      <c r="BR124" s="638"/>
      <c r="BS124" s="638"/>
      <c r="BT124" s="638"/>
      <c r="BU124" s="638"/>
      <c r="BV124" s="638"/>
      <c r="BW124" s="638"/>
      <c r="BX124" s="638"/>
      <c r="BY124" s="638"/>
      <c r="BZ124" s="638"/>
      <c r="CA124" s="638"/>
      <c r="CB124" s="638"/>
      <c r="CC124" s="638"/>
      <c r="CD124" s="638"/>
      <c r="CE124" s="638"/>
      <c r="CF124" s="638"/>
      <c r="CG124" s="638"/>
      <c r="CH124" s="638"/>
      <c r="CI124" s="638"/>
      <c r="CJ124" s="638"/>
      <c r="CK124" s="638"/>
      <c r="CL124" s="638"/>
      <c r="CM124" s="638"/>
      <c r="CN124" s="638"/>
      <c r="CO124" s="638"/>
      <c r="CP124" s="638"/>
      <c r="CQ124" s="638"/>
      <c r="CR124" s="638"/>
      <c r="CS124" s="638"/>
    </row>
    <row r="125" spans="1:97" s="424" customFormat="1" outlineLevel="1" x14ac:dyDescent="0.25">
      <c r="A125" s="638"/>
      <c r="B125" s="646"/>
      <c r="C125" s="436" t="s">
        <v>65</v>
      </c>
      <c r="D125" s="647" t="s">
        <v>66</v>
      </c>
      <c r="E125" s="661">
        <v>7</v>
      </c>
      <c r="F125" s="638"/>
      <c r="G125" s="638"/>
      <c r="H125" s="638"/>
      <c r="I125" s="638"/>
      <c r="J125" s="638"/>
      <c r="K125" s="638"/>
      <c r="L125" s="638"/>
      <c r="M125" s="638"/>
      <c r="N125" s="638"/>
      <c r="O125" s="638"/>
      <c r="P125" s="638"/>
      <c r="Q125" s="638"/>
      <c r="R125" s="638"/>
      <c r="S125" s="638"/>
      <c r="T125" s="638"/>
      <c r="U125" s="638"/>
      <c r="V125" s="638"/>
      <c r="W125" s="638"/>
      <c r="X125" s="638"/>
      <c r="Y125" s="638"/>
      <c r="Z125" s="638"/>
      <c r="AA125" s="638"/>
      <c r="AB125" s="638"/>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c r="BJ125" s="638"/>
      <c r="BK125" s="638"/>
      <c r="BL125" s="638"/>
      <c r="BM125" s="638"/>
      <c r="BN125" s="638"/>
      <c r="BO125" s="638"/>
      <c r="BP125" s="638"/>
      <c r="BQ125" s="638"/>
      <c r="BR125" s="638"/>
      <c r="BS125" s="638"/>
      <c r="BT125" s="638"/>
      <c r="BU125" s="638"/>
      <c r="BV125" s="638"/>
      <c r="BW125" s="638"/>
      <c r="BX125" s="638"/>
      <c r="BY125" s="638"/>
      <c r="BZ125" s="638"/>
      <c r="CA125" s="638"/>
      <c r="CB125" s="638"/>
      <c r="CC125" s="638"/>
      <c r="CD125" s="638"/>
      <c r="CE125" s="638"/>
      <c r="CF125" s="638"/>
      <c r="CG125" s="638"/>
      <c r="CH125" s="638"/>
      <c r="CI125" s="638"/>
      <c r="CJ125" s="638"/>
      <c r="CK125" s="638"/>
      <c r="CL125" s="638"/>
      <c r="CM125" s="638"/>
      <c r="CN125" s="638"/>
      <c r="CO125" s="638"/>
      <c r="CP125" s="638"/>
      <c r="CQ125" s="638"/>
      <c r="CR125" s="638"/>
      <c r="CS125" s="638"/>
    </row>
    <row r="126" spans="1:97" s="424" customFormat="1" outlineLevel="1" x14ac:dyDescent="0.25">
      <c r="A126" s="638"/>
      <c r="B126" s="646"/>
      <c r="C126" s="436"/>
      <c r="D126" s="647"/>
      <c r="E126" s="662"/>
      <c r="F126" s="638"/>
      <c r="G126" s="638"/>
      <c r="H126" s="638"/>
      <c r="I126" s="638"/>
      <c r="J126" s="638"/>
      <c r="K126" s="638"/>
      <c r="L126" s="638"/>
      <c r="M126" s="638"/>
      <c r="N126" s="638"/>
      <c r="O126" s="638"/>
      <c r="P126" s="638"/>
      <c r="Q126" s="638"/>
      <c r="R126" s="638"/>
      <c r="S126" s="638"/>
      <c r="T126" s="638"/>
      <c r="U126" s="638"/>
      <c r="V126" s="638"/>
      <c r="W126" s="638"/>
      <c r="X126" s="638"/>
      <c r="Y126" s="638"/>
      <c r="Z126" s="638"/>
      <c r="AA126" s="638"/>
      <c r="AB126" s="638"/>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c r="BJ126" s="638"/>
      <c r="BK126" s="638"/>
      <c r="BL126" s="638"/>
      <c r="BM126" s="638"/>
      <c r="BN126" s="638"/>
      <c r="BO126" s="638"/>
      <c r="BP126" s="638"/>
      <c r="BQ126" s="638"/>
      <c r="BR126" s="638"/>
      <c r="BS126" s="638"/>
      <c r="BT126" s="638"/>
      <c r="BU126" s="638"/>
      <c r="BV126" s="638"/>
      <c r="BW126" s="638"/>
      <c r="BX126" s="638"/>
      <c r="BY126" s="638"/>
      <c r="BZ126" s="638"/>
      <c r="CA126" s="638"/>
      <c r="CB126" s="638"/>
      <c r="CC126" s="638"/>
      <c r="CD126" s="638"/>
      <c r="CE126" s="638"/>
      <c r="CF126" s="638"/>
      <c r="CG126" s="638"/>
      <c r="CH126" s="638"/>
      <c r="CI126" s="638"/>
      <c r="CJ126" s="638"/>
      <c r="CK126" s="638"/>
      <c r="CL126" s="638"/>
      <c r="CM126" s="638"/>
      <c r="CN126" s="638"/>
      <c r="CO126" s="638"/>
      <c r="CP126" s="638"/>
      <c r="CQ126" s="638"/>
      <c r="CR126" s="638"/>
      <c r="CS126" s="638"/>
    </row>
    <row r="127" spans="1:97" s="221" customFormat="1" outlineLevel="1" x14ac:dyDescent="0.25">
      <c r="C127" s="221" t="s">
        <v>67</v>
      </c>
      <c r="D127" s="222">
        <f>D88</f>
        <v>2023</v>
      </c>
      <c r="E127" s="222">
        <f>E88</f>
        <v>2024</v>
      </c>
      <c r="F127" s="223"/>
      <c r="G127" s="223"/>
      <c r="H127" s="223"/>
      <c r="I127" s="223"/>
      <c r="J127" s="223"/>
      <c r="K127" s="223"/>
      <c r="L127" s="223"/>
      <c r="M127" s="223"/>
      <c r="N127" s="223"/>
      <c r="O127" s="223"/>
      <c r="P127" s="223"/>
      <c r="Q127" s="227"/>
      <c r="R127" s="227"/>
      <c r="S127" s="227"/>
      <c r="T127" s="227"/>
      <c r="U127" s="227"/>
      <c r="V127" s="227"/>
      <c r="W127" s="227"/>
      <c r="X127" s="227"/>
      <c r="Y127" s="227"/>
      <c r="Z127" s="227"/>
      <c r="AA127" s="227"/>
      <c r="AB127" s="227"/>
      <c r="AC127" s="227"/>
      <c r="AD127" s="227"/>
      <c r="AE127" s="227"/>
      <c r="AF127" s="227"/>
      <c r="AG127" s="227"/>
      <c r="AH127" s="227"/>
      <c r="AI127" s="227"/>
      <c r="AJ127" s="227"/>
      <c r="AK127" s="227"/>
      <c r="AL127" s="227"/>
      <c r="AM127" s="227"/>
      <c r="AN127" s="227"/>
      <c r="AO127" s="227"/>
      <c r="AP127" s="227"/>
      <c r="AQ127" s="227"/>
      <c r="AR127" s="227"/>
      <c r="AS127" s="227"/>
      <c r="AT127" s="227"/>
      <c r="AU127" s="227"/>
      <c r="AV127" s="227"/>
      <c r="AW127" s="227"/>
      <c r="AX127" s="227"/>
      <c r="AY127" s="227"/>
      <c r="AZ127" s="227"/>
      <c r="BA127" s="227"/>
      <c r="BB127" s="227"/>
      <c r="BC127" s="227"/>
      <c r="BD127" s="227"/>
      <c r="BE127" s="227"/>
      <c r="BF127" s="227"/>
      <c r="BG127" s="227"/>
      <c r="BH127" s="227"/>
      <c r="BI127" s="227"/>
      <c r="BJ127" s="227"/>
      <c r="BK127" s="227"/>
      <c r="BL127" s="227"/>
      <c r="BM127" s="227"/>
      <c r="BN127" s="227"/>
      <c r="BO127" s="227"/>
      <c r="BP127" s="227"/>
      <c r="BQ127" s="227"/>
      <c r="BR127" s="227"/>
      <c r="BS127" s="227"/>
      <c r="BT127" s="227"/>
      <c r="BU127" s="227"/>
      <c r="BV127" s="227"/>
      <c r="BW127" s="227"/>
      <c r="BX127" s="227"/>
      <c r="BY127" s="227"/>
      <c r="BZ127" s="227"/>
      <c r="CA127" s="227"/>
      <c r="CB127" s="227"/>
      <c r="CC127" s="227"/>
      <c r="CD127" s="227"/>
      <c r="CE127" s="227"/>
      <c r="CF127" s="227"/>
      <c r="CG127" s="227"/>
      <c r="CH127" s="227"/>
      <c r="CI127" s="227"/>
      <c r="CJ127" s="227"/>
      <c r="CK127" s="227"/>
      <c r="CL127" s="227"/>
      <c r="CM127" s="227"/>
      <c r="CN127" s="227"/>
      <c r="CO127" s="227"/>
      <c r="CP127" s="227"/>
      <c r="CQ127" s="227"/>
      <c r="CR127" s="227"/>
      <c r="CS127" s="227"/>
    </row>
    <row r="128" spans="1:97" s="424" customFormat="1" ht="13.9" customHeight="1" outlineLevel="1" x14ac:dyDescent="0.25">
      <c r="A128" s="638"/>
      <c r="B128" s="638"/>
      <c r="C128" s="227"/>
      <c r="D128" s="646"/>
      <c r="E128" s="647"/>
      <c r="F128" s="647"/>
      <c r="G128" s="647"/>
      <c r="H128" s="638"/>
      <c r="I128" s="638"/>
      <c r="J128" s="638"/>
      <c r="K128" s="638"/>
      <c r="L128" s="638"/>
      <c r="M128" s="638"/>
      <c r="N128" s="638"/>
      <c r="O128" s="638"/>
      <c r="P128" s="638"/>
      <c r="Q128" s="638"/>
      <c r="R128" s="638"/>
      <c r="S128" s="638"/>
      <c r="T128" s="638"/>
      <c r="U128" s="638"/>
      <c r="V128" s="638"/>
      <c r="W128" s="638"/>
      <c r="X128" s="638"/>
      <c r="Y128" s="638"/>
      <c r="Z128" s="638"/>
      <c r="AA128" s="638"/>
      <c r="AB128" s="638"/>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c r="BH128" s="638"/>
      <c r="BI128" s="638"/>
      <c r="BJ128" s="638"/>
      <c r="BK128" s="638"/>
      <c r="BL128" s="638"/>
      <c r="BM128" s="638"/>
      <c r="BN128" s="638"/>
      <c r="BO128" s="638"/>
      <c r="BP128" s="638"/>
      <c r="BQ128" s="638"/>
      <c r="BR128" s="638"/>
      <c r="BS128" s="638"/>
      <c r="BT128" s="638"/>
      <c r="BU128" s="638"/>
      <c r="BV128" s="638"/>
      <c r="BW128" s="638"/>
      <c r="BX128" s="638"/>
      <c r="BY128" s="638"/>
      <c r="BZ128" s="638"/>
      <c r="CA128" s="638"/>
      <c r="CB128" s="638"/>
      <c r="CC128" s="638"/>
      <c r="CD128" s="638"/>
      <c r="CE128" s="638"/>
      <c r="CF128" s="638"/>
      <c r="CG128" s="638"/>
      <c r="CH128" s="638"/>
      <c r="CI128" s="638"/>
      <c r="CJ128" s="638"/>
      <c r="CK128" s="638"/>
      <c r="CL128" s="638"/>
      <c r="CM128" s="638"/>
      <c r="CN128" s="638"/>
      <c r="CO128" s="638"/>
      <c r="CP128" s="638"/>
      <c r="CQ128" s="638"/>
      <c r="CR128" s="638"/>
      <c r="CS128" s="638"/>
    </row>
    <row r="129" spans="1:97" s="424" customFormat="1" ht="13.9" customHeight="1" outlineLevel="1" x14ac:dyDescent="0.25">
      <c r="A129" s="638"/>
      <c r="B129" s="638"/>
      <c r="C129" s="531" t="s">
        <v>31</v>
      </c>
      <c r="D129" s="663"/>
      <c r="E129" s="664"/>
      <c r="F129" s="647"/>
      <c r="G129" s="647"/>
      <c r="H129" s="638"/>
      <c r="I129" s="638"/>
      <c r="J129" s="638"/>
      <c r="K129" s="638"/>
      <c r="L129" s="638"/>
      <c r="M129" s="638"/>
      <c r="N129" s="638"/>
      <c r="O129" s="638"/>
      <c r="P129" s="638"/>
      <c r="Q129" s="638"/>
      <c r="R129" s="638"/>
      <c r="S129" s="638"/>
      <c r="T129" s="638"/>
      <c r="U129" s="638"/>
      <c r="V129" s="638"/>
      <c r="W129" s="638"/>
      <c r="X129" s="638"/>
      <c r="Y129" s="638"/>
      <c r="Z129" s="638"/>
      <c r="AA129" s="638"/>
      <c r="AB129" s="638"/>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c r="BH129" s="638"/>
      <c r="BI129" s="638"/>
      <c r="BJ129" s="638"/>
      <c r="BK129" s="638"/>
      <c r="BL129" s="638"/>
      <c r="BM129" s="638"/>
      <c r="BN129" s="638"/>
      <c r="BO129" s="638"/>
      <c r="BP129" s="638"/>
      <c r="BQ129" s="638"/>
      <c r="BR129" s="638"/>
      <c r="BS129" s="638"/>
      <c r="BT129" s="638"/>
      <c r="BU129" s="638"/>
      <c r="BV129" s="638"/>
      <c r="BW129" s="638"/>
      <c r="BX129" s="638"/>
      <c r="BY129" s="638"/>
      <c r="BZ129" s="638"/>
      <c r="CA129" s="638"/>
      <c r="CB129" s="638"/>
      <c r="CC129" s="638"/>
      <c r="CD129" s="638"/>
      <c r="CE129" s="638"/>
      <c r="CF129" s="638"/>
      <c r="CG129" s="638"/>
      <c r="CH129" s="638"/>
      <c r="CI129" s="638"/>
      <c r="CJ129" s="638"/>
      <c r="CK129" s="638"/>
      <c r="CL129" s="638"/>
      <c r="CM129" s="638"/>
      <c r="CN129" s="638"/>
      <c r="CO129" s="638"/>
      <c r="CP129" s="638"/>
      <c r="CQ129" s="638"/>
      <c r="CR129" s="638"/>
      <c r="CS129" s="638"/>
    </row>
    <row r="130" spans="1:97" s="424" customFormat="1" ht="13.9" customHeight="1" outlineLevel="1" x14ac:dyDescent="0.25">
      <c r="A130" s="638"/>
      <c r="B130" s="638"/>
      <c r="C130" s="638" t="s">
        <v>32</v>
      </c>
      <c r="D130" s="665">
        <v>320</v>
      </c>
      <c r="E130" s="666">
        <v>350</v>
      </c>
      <c r="F130" s="647"/>
      <c r="G130" s="647"/>
      <c r="H130" s="638"/>
      <c r="I130" s="638"/>
      <c r="J130" s="638"/>
      <c r="K130" s="638"/>
      <c r="L130" s="638"/>
      <c r="M130" s="638"/>
      <c r="N130" s="638"/>
      <c r="O130" s="638"/>
      <c r="P130" s="638"/>
      <c r="Q130" s="638"/>
      <c r="R130" s="638"/>
      <c r="S130" s="638"/>
      <c r="T130" s="638"/>
      <c r="U130" s="638"/>
      <c r="V130" s="638"/>
      <c r="W130" s="638"/>
      <c r="X130" s="638"/>
      <c r="Y130" s="638"/>
      <c r="Z130" s="638"/>
      <c r="AA130" s="638"/>
      <c r="AB130" s="638"/>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c r="BH130" s="638"/>
      <c r="BI130" s="638"/>
      <c r="BJ130" s="638"/>
      <c r="BK130" s="638"/>
      <c r="BL130" s="638"/>
      <c r="BM130" s="638"/>
      <c r="BN130" s="638"/>
      <c r="BO130" s="638"/>
      <c r="BP130" s="638"/>
      <c r="BQ130" s="638"/>
      <c r="BR130" s="638"/>
      <c r="BS130" s="638"/>
      <c r="BT130" s="638"/>
      <c r="BU130" s="638"/>
      <c r="BV130" s="638"/>
      <c r="BW130" s="638"/>
      <c r="BX130" s="638"/>
      <c r="BY130" s="638"/>
      <c r="BZ130" s="638"/>
      <c r="CA130" s="638"/>
      <c r="CB130" s="638"/>
      <c r="CC130" s="638"/>
      <c r="CD130" s="638"/>
      <c r="CE130" s="638"/>
      <c r="CF130" s="638"/>
      <c r="CG130" s="638"/>
      <c r="CH130" s="638"/>
      <c r="CI130" s="638"/>
      <c r="CJ130" s="638"/>
      <c r="CK130" s="638"/>
      <c r="CL130" s="638"/>
      <c r="CM130" s="638"/>
      <c r="CN130" s="638"/>
      <c r="CO130" s="638"/>
      <c r="CP130" s="638"/>
      <c r="CQ130" s="638"/>
      <c r="CR130" s="638"/>
      <c r="CS130" s="638"/>
    </row>
    <row r="131" spans="1:97" s="424" customFormat="1" ht="13.9" customHeight="1" outlineLevel="1" x14ac:dyDescent="0.25">
      <c r="A131" s="638"/>
      <c r="B131" s="638"/>
      <c r="C131" s="638" t="s">
        <v>33</v>
      </c>
      <c r="D131" s="665">
        <v>-190</v>
      </c>
      <c r="E131" s="666">
        <v>-200</v>
      </c>
      <c r="F131" s="647"/>
      <c r="G131" s="647"/>
      <c r="H131" s="638"/>
      <c r="I131" s="638"/>
      <c r="J131" s="638"/>
      <c r="K131" s="638"/>
      <c r="L131" s="638"/>
      <c r="M131" s="638"/>
      <c r="N131" s="638"/>
      <c r="O131" s="638"/>
      <c r="P131" s="638"/>
      <c r="Q131" s="638"/>
      <c r="R131" s="638"/>
      <c r="S131" s="638"/>
      <c r="T131" s="638"/>
      <c r="U131" s="638"/>
      <c r="V131" s="638"/>
      <c r="W131" s="638"/>
      <c r="X131" s="638"/>
      <c r="Y131" s="638"/>
      <c r="Z131" s="638"/>
      <c r="AA131" s="638"/>
      <c r="AB131" s="638"/>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c r="BH131" s="638"/>
      <c r="BI131" s="638"/>
      <c r="BJ131" s="638"/>
      <c r="BK131" s="638"/>
      <c r="BL131" s="638"/>
      <c r="BM131" s="638"/>
      <c r="BN131" s="638"/>
      <c r="BO131" s="638"/>
      <c r="BP131" s="638"/>
      <c r="BQ131" s="638"/>
      <c r="BR131" s="638"/>
      <c r="BS131" s="638"/>
      <c r="BT131" s="638"/>
      <c r="BU131" s="638"/>
      <c r="BV131" s="638"/>
      <c r="BW131" s="638"/>
      <c r="BX131" s="638"/>
      <c r="BY131" s="638"/>
      <c r="BZ131" s="638"/>
      <c r="CA131" s="638"/>
      <c r="CB131" s="638"/>
      <c r="CC131" s="638"/>
      <c r="CD131" s="638"/>
      <c r="CE131" s="638"/>
      <c r="CF131" s="638"/>
      <c r="CG131" s="638"/>
      <c r="CH131" s="638"/>
      <c r="CI131" s="638"/>
      <c r="CJ131" s="638"/>
      <c r="CK131" s="638"/>
      <c r="CL131" s="638"/>
      <c r="CM131" s="638"/>
      <c r="CN131" s="638"/>
      <c r="CO131" s="638"/>
      <c r="CP131" s="638"/>
      <c r="CQ131" s="638"/>
      <c r="CR131" s="638"/>
      <c r="CS131" s="638"/>
    </row>
    <row r="132" spans="1:97" s="424" customFormat="1" ht="13.9" customHeight="1" outlineLevel="1" x14ac:dyDescent="0.25">
      <c r="A132" s="638"/>
      <c r="B132" s="638"/>
      <c r="C132" s="638" t="s">
        <v>34</v>
      </c>
      <c r="D132" s="665">
        <v>-15</v>
      </c>
      <c r="E132" s="666">
        <v>-10</v>
      </c>
      <c r="F132" s="647"/>
      <c r="G132" s="647"/>
      <c r="H132" s="638"/>
      <c r="I132" s="638"/>
      <c r="J132" s="638"/>
      <c r="K132" s="638"/>
      <c r="L132" s="638"/>
      <c r="M132" s="638"/>
      <c r="N132" s="638"/>
      <c r="O132" s="638"/>
      <c r="P132" s="638"/>
      <c r="Q132" s="638"/>
      <c r="R132" s="638"/>
      <c r="S132" s="638"/>
      <c r="T132" s="638"/>
      <c r="U132" s="638"/>
      <c r="V132" s="638"/>
      <c r="W132" s="638"/>
      <c r="X132" s="638"/>
      <c r="Y132" s="638"/>
      <c r="Z132" s="638"/>
      <c r="AA132" s="638"/>
      <c r="AB132" s="638"/>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c r="BH132" s="638"/>
      <c r="BI132" s="638"/>
      <c r="BJ132" s="638"/>
      <c r="BK132" s="638"/>
      <c r="BL132" s="638"/>
      <c r="BM132" s="638"/>
      <c r="BN132" s="638"/>
      <c r="BO132" s="638"/>
      <c r="BP132" s="638"/>
      <c r="BQ132" s="638"/>
      <c r="BR132" s="638"/>
      <c r="BS132" s="638"/>
      <c r="BT132" s="638"/>
      <c r="BU132" s="638"/>
      <c r="BV132" s="638"/>
      <c r="BW132" s="638"/>
      <c r="BX132" s="638"/>
      <c r="BY132" s="638"/>
      <c r="BZ132" s="638"/>
      <c r="CA132" s="638"/>
      <c r="CB132" s="638"/>
      <c r="CC132" s="638"/>
      <c r="CD132" s="638"/>
      <c r="CE132" s="638"/>
      <c r="CF132" s="638"/>
      <c r="CG132" s="638"/>
      <c r="CH132" s="638"/>
      <c r="CI132" s="638"/>
      <c r="CJ132" s="638"/>
      <c r="CK132" s="638"/>
      <c r="CL132" s="638"/>
      <c r="CM132" s="638"/>
      <c r="CN132" s="638"/>
      <c r="CO132" s="638"/>
      <c r="CP132" s="638"/>
      <c r="CQ132" s="638"/>
      <c r="CR132" s="638"/>
      <c r="CS132" s="638"/>
    </row>
    <row r="133" spans="1:97" s="424" customFormat="1" ht="13.9" customHeight="1" outlineLevel="1" x14ac:dyDescent="0.25">
      <c r="A133" s="638"/>
      <c r="B133" s="638"/>
      <c r="C133" s="638" t="s">
        <v>35</v>
      </c>
      <c r="D133" s="666">
        <f>SUM(D130:D132)</f>
        <v>115</v>
      </c>
      <c r="E133" s="666">
        <f>SUM(E130:E132)</f>
        <v>140</v>
      </c>
      <c r="F133" s="647"/>
      <c r="G133" s="647"/>
      <c r="H133" s="638"/>
      <c r="I133" s="638"/>
      <c r="J133" s="638"/>
      <c r="K133" s="638"/>
      <c r="L133" s="638"/>
      <c r="M133" s="638"/>
      <c r="N133" s="638"/>
      <c r="O133" s="638"/>
      <c r="P133" s="638"/>
      <c r="Q133" s="638"/>
      <c r="R133" s="638"/>
      <c r="S133" s="638"/>
      <c r="T133" s="638"/>
      <c r="U133" s="638"/>
      <c r="V133" s="638"/>
      <c r="W133" s="638"/>
      <c r="X133" s="638"/>
      <c r="Y133" s="638"/>
      <c r="Z133" s="638"/>
      <c r="AA133" s="638"/>
      <c r="AB133" s="638"/>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c r="BH133" s="638"/>
      <c r="BI133" s="638"/>
      <c r="BJ133" s="638"/>
      <c r="BK133" s="638"/>
      <c r="BL133" s="638"/>
      <c r="BM133" s="638"/>
      <c r="BN133" s="638"/>
      <c r="BO133" s="638"/>
      <c r="BP133" s="638"/>
      <c r="BQ133" s="638"/>
      <c r="BR133" s="638"/>
      <c r="BS133" s="638"/>
      <c r="BT133" s="638"/>
      <c r="BU133" s="638"/>
      <c r="BV133" s="638"/>
      <c r="BW133" s="638"/>
      <c r="BX133" s="638"/>
      <c r="BY133" s="638"/>
      <c r="BZ133" s="638"/>
      <c r="CA133" s="638"/>
      <c r="CB133" s="638"/>
      <c r="CC133" s="638"/>
      <c r="CD133" s="638"/>
      <c r="CE133" s="638"/>
      <c r="CF133" s="638"/>
      <c r="CG133" s="638"/>
      <c r="CH133" s="638"/>
      <c r="CI133" s="638"/>
      <c r="CJ133" s="638"/>
      <c r="CK133" s="638"/>
      <c r="CL133" s="638"/>
      <c r="CM133" s="638"/>
      <c r="CN133" s="638"/>
      <c r="CO133" s="638"/>
      <c r="CP133" s="638"/>
      <c r="CQ133" s="638"/>
      <c r="CR133" s="638"/>
      <c r="CS133" s="638"/>
    </row>
    <row r="134" spans="1:97" s="424" customFormat="1" ht="13.9" customHeight="1" outlineLevel="1" x14ac:dyDescent="0.25">
      <c r="A134" s="638"/>
      <c r="B134" s="638"/>
      <c r="C134" s="638" t="s">
        <v>36</v>
      </c>
      <c r="D134" s="665">
        <v>-5</v>
      </c>
      <c r="E134" s="666">
        <v>-4.95</v>
      </c>
      <c r="F134" s="647"/>
      <c r="G134" s="647"/>
      <c r="H134" s="638"/>
      <c r="I134" s="638"/>
      <c r="J134" s="638"/>
      <c r="K134" s="638"/>
      <c r="L134" s="638"/>
      <c r="M134" s="638"/>
      <c r="N134" s="638"/>
      <c r="O134" s="638"/>
      <c r="P134" s="638"/>
      <c r="Q134" s="638"/>
      <c r="R134" s="638"/>
      <c r="S134" s="638"/>
      <c r="T134" s="638"/>
      <c r="U134" s="638"/>
      <c r="V134" s="638"/>
      <c r="W134" s="638"/>
      <c r="X134" s="638"/>
      <c r="Y134" s="638"/>
      <c r="Z134" s="638"/>
      <c r="AA134" s="638"/>
      <c r="AB134" s="638"/>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c r="BH134" s="638"/>
      <c r="BI134" s="638"/>
      <c r="BJ134" s="638"/>
      <c r="BK134" s="638"/>
      <c r="BL134" s="638"/>
      <c r="BM134" s="638"/>
      <c r="BN134" s="638"/>
      <c r="BO134" s="638"/>
      <c r="BP134" s="638"/>
      <c r="BQ134" s="638"/>
      <c r="BR134" s="638"/>
      <c r="BS134" s="638"/>
      <c r="BT134" s="638"/>
      <c r="BU134" s="638"/>
      <c r="BV134" s="638"/>
      <c r="BW134" s="638"/>
      <c r="BX134" s="638"/>
      <c r="BY134" s="638"/>
      <c r="BZ134" s="638"/>
      <c r="CA134" s="638"/>
      <c r="CB134" s="638"/>
      <c r="CC134" s="638"/>
      <c r="CD134" s="638"/>
      <c r="CE134" s="638"/>
      <c r="CF134" s="638"/>
      <c r="CG134" s="638"/>
      <c r="CH134" s="638"/>
      <c r="CI134" s="638"/>
      <c r="CJ134" s="638"/>
      <c r="CK134" s="638"/>
      <c r="CL134" s="638"/>
      <c r="CM134" s="638"/>
      <c r="CN134" s="638"/>
      <c r="CO134" s="638"/>
      <c r="CP134" s="638"/>
      <c r="CQ134" s="638"/>
      <c r="CR134" s="638"/>
      <c r="CS134" s="638"/>
    </row>
    <row r="135" spans="1:97" s="424" customFormat="1" ht="13.9" customHeight="1" outlineLevel="1" x14ac:dyDescent="0.25">
      <c r="A135" s="638"/>
      <c r="B135" s="638"/>
      <c r="C135" s="638" t="s">
        <v>37</v>
      </c>
      <c r="D135" s="666">
        <f>SUM(D133:D134)</f>
        <v>110</v>
      </c>
      <c r="E135" s="666">
        <f>SUM(E133:E134)</f>
        <v>135.05000000000001</v>
      </c>
      <c r="F135" s="647"/>
      <c r="G135" s="647"/>
      <c r="H135" s="638"/>
      <c r="I135" s="638"/>
      <c r="J135" s="638"/>
      <c r="K135" s="638"/>
      <c r="L135" s="638"/>
      <c r="M135" s="638"/>
      <c r="N135" s="638"/>
      <c r="O135" s="638"/>
      <c r="P135" s="638"/>
      <c r="Q135" s="638"/>
      <c r="R135" s="638"/>
      <c r="S135" s="638"/>
      <c r="T135" s="638"/>
      <c r="U135" s="638"/>
      <c r="V135" s="638"/>
      <c r="W135" s="638"/>
      <c r="X135" s="638"/>
      <c r="Y135" s="638"/>
      <c r="Z135" s="638"/>
      <c r="AA135" s="638"/>
      <c r="AB135" s="638"/>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c r="BH135" s="638"/>
      <c r="BI135" s="638"/>
      <c r="BJ135" s="638"/>
      <c r="BK135" s="638"/>
      <c r="BL135" s="638"/>
      <c r="BM135" s="638"/>
      <c r="BN135" s="638"/>
      <c r="BO135" s="638"/>
      <c r="BP135" s="638"/>
      <c r="BQ135" s="638"/>
      <c r="BR135" s="638"/>
      <c r="BS135" s="638"/>
      <c r="BT135" s="638"/>
      <c r="BU135" s="638"/>
      <c r="BV135" s="638"/>
      <c r="BW135" s="638"/>
      <c r="BX135" s="638"/>
      <c r="BY135" s="638"/>
      <c r="BZ135" s="638"/>
      <c r="CA135" s="638"/>
      <c r="CB135" s="638"/>
      <c r="CC135" s="638"/>
      <c r="CD135" s="638"/>
      <c r="CE135" s="638"/>
      <c r="CF135" s="638"/>
      <c r="CG135" s="638"/>
      <c r="CH135" s="638"/>
      <c r="CI135" s="638"/>
      <c r="CJ135" s="638"/>
      <c r="CK135" s="638"/>
      <c r="CL135" s="638"/>
      <c r="CM135" s="638"/>
      <c r="CN135" s="638"/>
      <c r="CO135" s="638"/>
      <c r="CP135" s="638"/>
      <c r="CQ135" s="638"/>
      <c r="CR135" s="638"/>
      <c r="CS135" s="638"/>
    </row>
    <row r="136" spans="1:97" s="424" customFormat="1" ht="13.9" customHeight="1" outlineLevel="1" x14ac:dyDescent="0.25">
      <c r="A136" s="638"/>
      <c r="B136" s="638"/>
      <c r="C136" s="638" t="s">
        <v>38</v>
      </c>
      <c r="D136" s="665">
        <f>-$E$156*D135</f>
        <v>-27.5</v>
      </c>
      <c r="E136" s="665">
        <f>-$E$156*E135</f>
        <v>-33.762500000000003</v>
      </c>
      <c r="F136" s="647"/>
      <c r="G136" s="647"/>
      <c r="H136" s="638"/>
      <c r="I136" s="638"/>
      <c r="J136" s="638"/>
      <c r="K136" s="638"/>
      <c r="L136" s="638"/>
      <c r="M136" s="638"/>
      <c r="N136" s="638"/>
      <c r="O136" s="638"/>
      <c r="P136" s="638"/>
      <c r="Q136" s="638"/>
      <c r="R136" s="638"/>
      <c r="S136" s="638"/>
      <c r="T136" s="638"/>
      <c r="U136" s="638"/>
      <c r="V136" s="638"/>
      <c r="W136" s="638"/>
      <c r="X136" s="638"/>
      <c r="Y136" s="638"/>
      <c r="Z136" s="638"/>
      <c r="AA136" s="638"/>
      <c r="AB136" s="638"/>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c r="BH136" s="638"/>
      <c r="BI136" s="638"/>
      <c r="BJ136" s="638"/>
      <c r="BK136" s="638"/>
      <c r="BL136" s="638"/>
      <c r="BM136" s="638"/>
      <c r="BN136" s="638"/>
      <c r="BO136" s="638"/>
      <c r="BP136" s="638"/>
      <c r="BQ136" s="638"/>
      <c r="BR136" s="638"/>
      <c r="BS136" s="638"/>
      <c r="BT136" s="638"/>
      <c r="BU136" s="638"/>
      <c r="BV136" s="638"/>
      <c r="BW136" s="638"/>
      <c r="BX136" s="638"/>
      <c r="BY136" s="638"/>
      <c r="BZ136" s="638"/>
      <c r="CA136" s="638"/>
      <c r="CB136" s="638"/>
      <c r="CC136" s="638"/>
      <c r="CD136" s="638"/>
      <c r="CE136" s="638"/>
      <c r="CF136" s="638"/>
      <c r="CG136" s="638"/>
      <c r="CH136" s="638"/>
      <c r="CI136" s="638"/>
      <c r="CJ136" s="638"/>
      <c r="CK136" s="638"/>
      <c r="CL136" s="638"/>
      <c r="CM136" s="638"/>
      <c r="CN136" s="638"/>
      <c r="CO136" s="638"/>
      <c r="CP136" s="638"/>
      <c r="CQ136" s="638"/>
      <c r="CR136" s="638"/>
      <c r="CS136" s="638"/>
    </row>
    <row r="137" spans="1:97" s="424" customFormat="1" ht="13.9" customHeight="1" outlineLevel="1" x14ac:dyDescent="0.25">
      <c r="A137" s="638"/>
      <c r="B137" s="638"/>
      <c r="C137" s="638" t="s">
        <v>39</v>
      </c>
      <c r="D137" s="666">
        <f>SUM(D135:D136)</f>
        <v>82.5</v>
      </c>
      <c r="E137" s="666">
        <f>SUM(E135:E136)</f>
        <v>101.28750000000001</v>
      </c>
      <c r="F137" s="647"/>
      <c r="G137" s="647"/>
      <c r="H137" s="638"/>
      <c r="I137" s="638"/>
      <c r="J137" s="638"/>
      <c r="K137" s="638"/>
      <c r="L137" s="638"/>
      <c r="M137" s="638"/>
      <c r="N137" s="638"/>
      <c r="O137" s="638"/>
      <c r="P137" s="638"/>
      <c r="Q137" s="638"/>
      <c r="R137" s="638"/>
      <c r="S137" s="638"/>
      <c r="T137" s="638"/>
      <c r="U137" s="638"/>
      <c r="V137" s="638"/>
      <c r="W137" s="638"/>
      <c r="X137" s="638"/>
      <c r="Y137" s="638"/>
      <c r="Z137" s="638"/>
      <c r="AA137" s="638"/>
      <c r="AB137" s="638"/>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c r="BH137" s="638"/>
      <c r="BI137" s="638"/>
      <c r="BJ137" s="638"/>
      <c r="BK137" s="638"/>
      <c r="BL137" s="638"/>
      <c r="BM137" s="638"/>
      <c r="BN137" s="638"/>
      <c r="BO137" s="638"/>
      <c r="BP137" s="638"/>
      <c r="BQ137" s="638"/>
      <c r="BR137" s="638"/>
      <c r="BS137" s="638"/>
      <c r="BT137" s="638"/>
      <c r="BU137" s="638"/>
      <c r="BV137" s="638"/>
      <c r="BW137" s="638"/>
      <c r="BX137" s="638"/>
      <c r="BY137" s="638"/>
      <c r="BZ137" s="638"/>
      <c r="CA137" s="638"/>
      <c r="CB137" s="638"/>
      <c r="CC137" s="638"/>
      <c r="CD137" s="638"/>
      <c r="CE137" s="638"/>
      <c r="CF137" s="638"/>
      <c r="CG137" s="638"/>
      <c r="CH137" s="638"/>
      <c r="CI137" s="638"/>
      <c r="CJ137" s="638"/>
      <c r="CK137" s="638"/>
      <c r="CL137" s="638"/>
      <c r="CM137" s="638"/>
      <c r="CN137" s="638"/>
      <c r="CO137" s="638"/>
      <c r="CP137" s="638"/>
      <c r="CQ137" s="638"/>
      <c r="CR137" s="638"/>
      <c r="CS137" s="638"/>
    </row>
    <row r="138" spans="1:97" s="424" customFormat="1" ht="13.9" customHeight="1" outlineLevel="1" x14ac:dyDescent="0.25">
      <c r="A138" s="638"/>
      <c r="B138" s="638"/>
      <c r="C138" s="638"/>
      <c r="D138" s="666"/>
      <c r="E138" s="666"/>
      <c r="F138" s="647"/>
      <c r="G138" s="647"/>
      <c r="H138" s="638"/>
      <c r="I138" s="638"/>
      <c r="J138" s="638"/>
      <c r="K138" s="638"/>
      <c r="L138" s="638"/>
      <c r="M138" s="638"/>
      <c r="N138" s="638"/>
      <c r="O138" s="638"/>
      <c r="P138" s="638"/>
      <c r="Q138" s="638"/>
      <c r="R138" s="638"/>
      <c r="S138" s="638"/>
      <c r="T138" s="638"/>
      <c r="U138" s="638"/>
      <c r="V138" s="638"/>
      <c r="W138" s="638"/>
      <c r="X138" s="638"/>
      <c r="Y138" s="638"/>
      <c r="Z138" s="638"/>
      <c r="AA138" s="638"/>
      <c r="AB138" s="638"/>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c r="BH138" s="638"/>
      <c r="BI138" s="638"/>
      <c r="BJ138" s="638"/>
      <c r="BK138" s="638"/>
      <c r="BL138" s="638"/>
      <c r="BM138" s="638"/>
      <c r="BN138" s="638"/>
      <c r="BO138" s="638"/>
      <c r="BP138" s="638"/>
      <c r="BQ138" s="638"/>
      <c r="BR138" s="638"/>
      <c r="BS138" s="638"/>
      <c r="BT138" s="638"/>
      <c r="BU138" s="638"/>
      <c r="BV138" s="638"/>
      <c r="BW138" s="638"/>
      <c r="BX138" s="638"/>
      <c r="BY138" s="638"/>
      <c r="BZ138" s="638"/>
      <c r="CA138" s="638"/>
      <c r="CB138" s="638"/>
      <c r="CC138" s="638"/>
      <c r="CD138" s="638"/>
      <c r="CE138" s="638"/>
      <c r="CF138" s="638"/>
      <c r="CG138" s="638"/>
      <c r="CH138" s="638"/>
      <c r="CI138" s="638"/>
      <c r="CJ138" s="638"/>
      <c r="CK138" s="638"/>
      <c r="CL138" s="638"/>
      <c r="CM138" s="638"/>
      <c r="CN138" s="638"/>
      <c r="CO138" s="638"/>
      <c r="CP138" s="638"/>
      <c r="CQ138" s="638"/>
      <c r="CR138" s="638"/>
      <c r="CS138" s="638"/>
    </row>
    <row r="139" spans="1:97" s="424" customFormat="1" ht="13.9" customHeight="1" outlineLevel="1" x14ac:dyDescent="0.25">
      <c r="A139" s="638"/>
      <c r="B139" s="638"/>
      <c r="C139" s="531" t="s">
        <v>40</v>
      </c>
      <c r="D139" s="532"/>
      <c r="E139" s="533"/>
      <c r="F139" s="647"/>
      <c r="G139" s="647"/>
      <c r="H139" s="638"/>
      <c r="I139" s="638"/>
      <c r="J139" s="638"/>
      <c r="K139" s="638"/>
      <c r="L139" s="638"/>
      <c r="M139" s="638"/>
      <c r="N139" s="638"/>
      <c r="O139" s="638"/>
      <c r="P139" s="638"/>
      <c r="Q139" s="638"/>
      <c r="R139" s="638"/>
      <c r="S139" s="638"/>
      <c r="T139" s="638"/>
      <c r="U139" s="638"/>
      <c r="V139" s="638"/>
      <c r="W139" s="638"/>
      <c r="X139" s="638"/>
      <c r="Y139" s="638"/>
      <c r="Z139" s="638"/>
      <c r="AA139" s="638"/>
      <c r="AB139" s="638"/>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c r="BH139" s="638"/>
      <c r="BI139" s="638"/>
      <c r="BJ139" s="638"/>
      <c r="BK139" s="638"/>
      <c r="BL139" s="638"/>
      <c r="BM139" s="638"/>
      <c r="BN139" s="638"/>
      <c r="BO139" s="638"/>
      <c r="BP139" s="638"/>
      <c r="BQ139" s="638"/>
      <c r="BR139" s="638"/>
      <c r="BS139" s="638"/>
      <c r="BT139" s="638"/>
      <c r="BU139" s="638"/>
      <c r="BV139" s="638"/>
      <c r="BW139" s="638"/>
      <c r="BX139" s="638"/>
      <c r="BY139" s="638"/>
      <c r="BZ139" s="638"/>
      <c r="CA139" s="638"/>
      <c r="CB139" s="638"/>
      <c r="CC139" s="638"/>
      <c r="CD139" s="638"/>
      <c r="CE139" s="638"/>
      <c r="CF139" s="638"/>
      <c r="CG139" s="638"/>
      <c r="CH139" s="638"/>
      <c r="CI139" s="638"/>
      <c r="CJ139" s="638"/>
      <c r="CK139" s="638"/>
      <c r="CL139" s="638"/>
      <c r="CM139" s="638"/>
      <c r="CN139" s="638"/>
      <c r="CO139" s="638"/>
      <c r="CP139" s="638"/>
      <c r="CQ139" s="638"/>
      <c r="CR139" s="638"/>
      <c r="CS139" s="638"/>
    </row>
    <row r="140" spans="1:97" s="424" customFormat="1" ht="13.9" customHeight="1" outlineLevel="1" x14ac:dyDescent="0.25">
      <c r="A140" s="638"/>
      <c r="B140" s="638"/>
      <c r="C140" s="638" t="s">
        <v>41</v>
      </c>
      <c r="D140" s="647">
        <v>600</v>
      </c>
      <c r="E140" s="650">
        <v>605</v>
      </c>
      <c r="F140" s="647"/>
      <c r="G140" s="647"/>
      <c r="H140" s="638"/>
      <c r="I140" s="638"/>
      <c r="J140" s="638"/>
      <c r="K140" s="638"/>
      <c r="L140" s="638"/>
      <c r="M140" s="638"/>
      <c r="N140" s="638"/>
      <c r="O140" s="638"/>
      <c r="P140" s="638"/>
      <c r="Q140" s="638"/>
      <c r="R140" s="638"/>
      <c r="S140" s="638"/>
      <c r="T140" s="638"/>
      <c r="U140" s="638"/>
      <c r="V140" s="638"/>
      <c r="W140" s="638"/>
      <c r="X140" s="638"/>
      <c r="Y140" s="638"/>
      <c r="Z140" s="638"/>
      <c r="AA140" s="638"/>
      <c r="AB140" s="638"/>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c r="BH140" s="638"/>
      <c r="BI140" s="638"/>
      <c r="BJ140" s="638"/>
      <c r="BK140" s="638"/>
      <c r="BL140" s="638"/>
      <c r="BM140" s="638"/>
      <c r="BN140" s="638"/>
      <c r="BO140" s="638"/>
      <c r="BP140" s="638"/>
      <c r="BQ140" s="638"/>
      <c r="BR140" s="638"/>
      <c r="BS140" s="638"/>
      <c r="BT140" s="638"/>
      <c r="BU140" s="638"/>
      <c r="BV140" s="638"/>
      <c r="BW140" s="638"/>
      <c r="BX140" s="638"/>
      <c r="BY140" s="638"/>
      <c r="BZ140" s="638"/>
      <c r="CA140" s="638"/>
      <c r="CB140" s="638"/>
      <c r="CC140" s="638"/>
      <c r="CD140" s="638"/>
      <c r="CE140" s="638"/>
      <c r="CF140" s="638"/>
      <c r="CG140" s="638"/>
      <c r="CH140" s="638"/>
      <c r="CI140" s="638"/>
      <c r="CJ140" s="638"/>
      <c r="CK140" s="638"/>
      <c r="CL140" s="638"/>
      <c r="CM140" s="638"/>
      <c r="CN140" s="638"/>
      <c r="CO140" s="638"/>
      <c r="CP140" s="638"/>
      <c r="CQ140" s="638"/>
      <c r="CR140" s="638"/>
      <c r="CS140" s="638"/>
    </row>
    <row r="141" spans="1:97" s="424" customFormat="1" ht="13.9" customHeight="1" outlineLevel="1" x14ac:dyDescent="0.25">
      <c r="A141" s="638"/>
      <c r="B141" s="638"/>
      <c r="C141" s="638" t="s">
        <v>42</v>
      </c>
      <c r="D141" s="647">
        <v>4</v>
      </c>
      <c r="E141" s="650">
        <v>5</v>
      </c>
      <c r="F141" s="647"/>
      <c r="G141" s="647"/>
      <c r="H141" s="638"/>
      <c r="I141" s="638"/>
      <c r="J141" s="638"/>
      <c r="K141" s="638"/>
      <c r="L141" s="638"/>
      <c r="M141" s="638"/>
      <c r="N141" s="638"/>
      <c r="O141" s="638"/>
      <c r="P141" s="638"/>
      <c r="Q141" s="638"/>
      <c r="R141" s="638"/>
      <c r="S141" s="638"/>
      <c r="T141" s="638"/>
      <c r="U141" s="638"/>
      <c r="V141" s="638"/>
      <c r="W141" s="638"/>
      <c r="X141" s="638"/>
      <c r="Y141" s="638"/>
      <c r="Z141" s="638"/>
      <c r="AA141" s="638"/>
      <c r="AB141" s="638"/>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c r="BH141" s="638"/>
      <c r="BI141" s="638"/>
      <c r="BJ141" s="638"/>
      <c r="BK141" s="638"/>
      <c r="BL141" s="638"/>
      <c r="BM141" s="638"/>
      <c r="BN141" s="638"/>
      <c r="BO141" s="638"/>
      <c r="BP141" s="638"/>
      <c r="BQ141" s="638"/>
      <c r="BR141" s="638"/>
      <c r="BS141" s="638"/>
      <c r="BT141" s="638"/>
      <c r="BU141" s="638"/>
      <c r="BV141" s="638"/>
      <c r="BW141" s="638"/>
      <c r="BX141" s="638"/>
      <c r="BY141" s="638"/>
      <c r="BZ141" s="638"/>
      <c r="CA141" s="638"/>
      <c r="CB141" s="638"/>
      <c r="CC141" s="638"/>
      <c r="CD141" s="638"/>
      <c r="CE141" s="638"/>
      <c r="CF141" s="638"/>
      <c r="CG141" s="638"/>
      <c r="CH141" s="638"/>
      <c r="CI141" s="638"/>
      <c r="CJ141" s="638"/>
      <c r="CK141" s="638"/>
      <c r="CL141" s="638"/>
      <c r="CM141" s="638"/>
      <c r="CN141" s="638"/>
      <c r="CO141" s="638"/>
      <c r="CP141" s="638"/>
      <c r="CQ141" s="638"/>
      <c r="CR141" s="638"/>
      <c r="CS141" s="638"/>
    </row>
    <row r="142" spans="1:97" s="424" customFormat="1" ht="13.9" customHeight="1" outlineLevel="1" x14ac:dyDescent="0.25">
      <c r="A142" s="638"/>
      <c r="B142" s="638"/>
      <c r="C142" s="227" t="s">
        <v>43</v>
      </c>
      <c r="D142" s="530">
        <f>SUM(D140:D141)</f>
        <v>604</v>
      </c>
      <c r="E142" s="530">
        <f>SUM(E140:E141)</f>
        <v>610</v>
      </c>
      <c r="F142" s="647"/>
      <c r="G142" s="647"/>
      <c r="H142" s="638"/>
      <c r="I142" s="638"/>
      <c r="J142" s="638"/>
      <c r="K142" s="638"/>
      <c r="L142" s="638"/>
      <c r="M142" s="638"/>
      <c r="N142" s="638"/>
      <c r="O142" s="638"/>
      <c r="P142" s="638"/>
      <c r="Q142" s="638"/>
      <c r="R142" s="638"/>
      <c r="S142" s="638"/>
      <c r="T142" s="638"/>
      <c r="U142" s="638"/>
      <c r="V142" s="638"/>
      <c r="W142" s="638"/>
      <c r="X142" s="638"/>
      <c r="Y142" s="638"/>
      <c r="Z142" s="638"/>
      <c r="AA142" s="638"/>
      <c r="AB142" s="638"/>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c r="BH142" s="638"/>
      <c r="BI142" s="638"/>
      <c r="BJ142" s="638"/>
      <c r="BK142" s="638"/>
      <c r="BL142" s="638"/>
      <c r="BM142" s="638"/>
      <c r="BN142" s="638"/>
      <c r="BO142" s="638"/>
      <c r="BP142" s="638"/>
      <c r="BQ142" s="638"/>
      <c r="BR142" s="638"/>
      <c r="BS142" s="638"/>
      <c r="BT142" s="638"/>
      <c r="BU142" s="638"/>
      <c r="BV142" s="638"/>
      <c r="BW142" s="638"/>
      <c r="BX142" s="638"/>
      <c r="BY142" s="638"/>
      <c r="BZ142" s="638"/>
      <c r="CA142" s="638"/>
      <c r="CB142" s="638"/>
      <c r="CC142" s="638"/>
      <c r="CD142" s="638"/>
      <c r="CE142" s="638"/>
      <c r="CF142" s="638"/>
      <c r="CG142" s="638"/>
      <c r="CH142" s="638"/>
      <c r="CI142" s="638"/>
      <c r="CJ142" s="638"/>
      <c r="CK142" s="638"/>
      <c r="CL142" s="638"/>
      <c r="CM142" s="638"/>
      <c r="CN142" s="638"/>
      <c r="CO142" s="638"/>
      <c r="CP142" s="638"/>
      <c r="CQ142" s="638"/>
      <c r="CR142" s="638"/>
      <c r="CS142" s="638"/>
    </row>
    <row r="143" spans="1:97" s="424" customFormat="1" ht="13.9" customHeight="1" outlineLevel="1" x14ac:dyDescent="0.25">
      <c r="A143" s="638"/>
      <c r="B143" s="638"/>
      <c r="C143" s="638" t="s">
        <v>44</v>
      </c>
      <c r="D143" s="647">
        <v>104</v>
      </c>
      <c r="E143" s="650">
        <v>110</v>
      </c>
      <c r="F143" s="647"/>
      <c r="G143" s="647"/>
      <c r="H143" s="638"/>
      <c r="I143" s="638"/>
      <c r="J143" s="638"/>
      <c r="K143" s="638"/>
      <c r="L143" s="638"/>
      <c r="M143" s="638"/>
      <c r="N143" s="638"/>
      <c r="O143" s="638"/>
      <c r="P143" s="638"/>
      <c r="Q143" s="638"/>
      <c r="R143" s="638"/>
      <c r="S143" s="638"/>
      <c r="T143" s="638"/>
      <c r="U143" s="638"/>
      <c r="V143" s="638"/>
      <c r="W143" s="638"/>
      <c r="X143" s="638"/>
      <c r="Y143" s="638"/>
      <c r="Z143" s="638"/>
      <c r="AA143" s="638"/>
      <c r="AB143" s="638"/>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c r="BH143" s="638"/>
      <c r="BI143" s="638"/>
      <c r="BJ143" s="638"/>
      <c r="BK143" s="638"/>
      <c r="BL143" s="638"/>
      <c r="BM143" s="638"/>
      <c r="BN143" s="638"/>
      <c r="BO143" s="638"/>
      <c r="BP143" s="638"/>
      <c r="BQ143" s="638"/>
      <c r="BR143" s="638"/>
      <c r="BS143" s="638"/>
      <c r="BT143" s="638"/>
      <c r="BU143" s="638"/>
      <c r="BV143" s="638"/>
      <c r="BW143" s="638"/>
      <c r="BX143" s="638"/>
      <c r="BY143" s="638"/>
      <c r="BZ143" s="638"/>
      <c r="CA143" s="638"/>
      <c r="CB143" s="638"/>
      <c r="CC143" s="638"/>
      <c r="CD143" s="638"/>
      <c r="CE143" s="638"/>
      <c r="CF143" s="638"/>
      <c r="CG143" s="638"/>
      <c r="CH143" s="638"/>
      <c r="CI143" s="638"/>
      <c r="CJ143" s="638"/>
      <c r="CK143" s="638"/>
      <c r="CL143" s="638"/>
      <c r="CM143" s="638"/>
      <c r="CN143" s="638"/>
      <c r="CO143" s="638"/>
      <c r="CP143" s="638"/>
      <c r="CQ143" s="638"/>
      <c r="CR143" s="638"/>
      <c r="CS143" s="638"/>
    </row>
    <row r="144" spans="1:97" s="424" customFormat="1" ht="13.9" customHeight="1" outlineLevel="1" x14ac:dyDescent="0.25">
      <c r="A144" s="638"/>
      <c r="B144" s="638"/>
      <c r="C144" s="638" t="s">
        <v>45</v>
      </c>
      <c r="D144" s="647">
        <v>500</v>
      </c>
      <c r="E144" s="650">
        <v>500</v>
      </c>
      <c r="F144" s="647"/>
      <c r="G144" s="647"/>
      <c r="H144" s="638"/>
      <c r="I144" s="638"/>
      <c r="J144" s="638"/>
      <c r="K144" s="638"/>
      <c r="L144" s="638"/>
      <c r="M144" s="638"/>
      <c r="N144" s="638"/>
      <c r="O144" s="638"/>
      <c r="P144" s="638"/>
      <c r="Q144" s="638"/>
      <c r="R144" s="638"/>
      <c r="S144" s="638"/>
      <c r="T144" s="638"/>
      <c r="U144" s="638"/>
      <c r="V144" s="638"/>
      <c r="W144" s="638"/>
      <c r="X144" s="638"/>
      <c r="Y144" s="638"/>
      <c r="Z144" s="638"/>
      <c r="AA144" s="638"/>
      <c r="AB144" s="638"/>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c r="BH144" s="638"/>
      <c r="BI144" s="638"/>
      <c r="BJ144" s="638"/>
      <c r="BK144" s="638"/>
      <c r="BL144" s="638"/>
      <c r="BM144" s="638"/>
      <c r="BN144" s="638"/>
      <c r="BO144" s="638"/>
      <c r="BP144" s="638"/>
      <c r="BQ144" s="638"/>
      <c r="BR144" s="638"/>
      <c r="BS144" s="638"/>
      <c r="BT144" s="638"/>
      <c r="BU144" s="638"/>
      <c r="BV144" s="638"/>
      <c r="BW144" s="638"/>
      <c r="BX144" s="638"/>
      <c r="BY144" s="638"/>
      <c r="BZ144" s="638"/>
      <c r="CA144" s="638"/>
      <c r="CB144" s="638"/>
      <c r="CC144" s="638"/>
      <c r="CD144" s="638"/>
      <c r="CE144" s="638"/>
      <c r="CF144" s="638"/>
      <c r="CG144" s="638"/>
      <c r="CH144" s="638"/>
      <c r="CI144" s="638"/>
      <c r="CJ144" s="638"/>
      <c r="CK144" s="638"/>
      <c r="CL144" s="638"/>
      <c r="CM144" s="638"/>
      <c r="CN144" s="638"/>
      <c r="CO144" s="638"/>
      <c r="CP144" s="638"/>
      <c r="CQ144" s="638"/>
      <c r="CR144" s="638"/>
      <c r="CS144" s="638"/>
    </row>
    <row r="145" spans="1:98" s="424" customFormat="1" ht="13.9" customHeight="1" outlineLevel="1" x14ac:dyDescent="0.25">
      <c r="A145" s="638"/>
      <c r="B145" s="638"/>
      <c r="C145" s="227" t="s">
        <v>46</v>
      </c>
      <c r="D145" s="530">
        <f>SUM(D143:D144)</f>
        <v>604</v>
      </c>
      <c r="E145" s="530">
        <f>SUM(E143:E144)</f>
        <v>610</v>
      </c>
      <c r="F145" s="647"/>
      <c r="G145" s="647"/>
      <c r="H145" s="638"/>
      <c r="I145" s="638"/>
      <c r="J145" s="638"/>
      <c r="K145" s="638"/>
      <c r="L145" s="638"/>
      <c r="M145" s="638"/>
      <c r="N145" s="638"/>
      <c r="O145" s="638"/>
      <c r="P145" s="638"/>
      <c r="Q145" s="638"/>
      <c r="R145" s="638"/>
      <c r="S145" s="638"/>
      <c r="T145" s="638"/>
      <c r="U145" s="638"/>
      <c r="V145" s="638"/>
      <c r="W145" s="638"/>
      <c r="X145" s="638"/>
      <c r="Y145" s="638"/>
      <c r="Z145" s="638"/>
      <c r="AA145" s="638"/>
      <c r="AB145" s="638"/>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c r="BH145" s="638"/>
      <c r="BI145" s="638"/>
      <c r="BJ145" s="638"/>
      <c r="BK145" s="638"/>
      <c r="BL145" s="638"/>
      <c r="BM145" s="638"/>
      <c r="BN145" s="638"/>
      <c r="BO145" s="638"/>
      <c r="BP145" s="638"/>
      <c r="BQ145" s="638"/>
      <c r="BR145" s="638"/>
      <c r="BS145" s="638"/>
      <c r="BT145" s="638"/>
      <c r="BU145" s="638"/>
      <c r="BV145" s="638"/>
      <c r="BW145" s="638"/>
      <c r="BX145" s="638"/>
      <c r="BY145" s="638"/>
      <c r="BZ145" s="638"/>
      <c r="CA145" s="638"/>
      <c r="CB145" s="638"/>
      <c r="CC145" s="638"/>
      <c r="CD145" s="638"/>
      <c r="CE145" s="638"/>
      <c r="CF145" s="638"/>
      <c r="CG145" s="638"/>
      <c r="CH145" s="638"/>
      <c r="CI145" s="638"/>
      <c r="CJ145" s="638"/>
      <c r="CK145" s="638"/>
      <c r="CL145" s="638"/>
      <c r="CM145" s="638"/>
      <c r="CN145" s="638"/>
      <c r="CO145" s="638"/>
      <c r="CP145" s="638"/>
      <c r="CQ145" s="638"/>
      <c r="CR145" s="638"/>
      <c r="CS145" s="638"/>
      <c r="CT145" s="638"/>
    </row>
    <row r="146" spans="1:98" s="424" customFormat="1" ht="13.9" customHeight="1" outlineLevel="1" x14ac:dyDescent="0.25">
      <c r="A146" s="638"/>
      <c r="B146" s="638"/>
      <c r="C146" s="227"/>
      <c r="D146" s="646"/>
      <c r="E146" s="647"/>
      <c r="F146" s="647"/>
      <c r="G146" s="647"/>
      <c r="H146" s="638"/>
      <c r="I146" s="638"/>
      <c r="J146" s="638"/>
      <c r="K146" s="638"/>
      <c r="L146" s="638"/>
      <c r="M146" s="638"/>
      <c r="N146" s="638"/>
      <c r="O146" s="638"/>
      <c r="P146" s="638"/>
      <c r="Q146" s="638"/>
      <c r="R146" s="638"/>
      <c r="S146" s="638"/>
      <c r="T146" s="638"/>
      <c r="U146" s="638"/>
      <c r="V146" s="638"/>
      <c r="W146" s="638"/>
      <c r="X146" s="638"/>
      <c r="Y146" s="638"/>
      <c r="Z146" s="638"/>
      <c r="AA146" s="638"/>
      <c r="AB146" s="638"/>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c r="BH146" s="638"/>
      <c r="BI146" s="638"/>
      <c r="BJ146" s="638"/>
      <c r="BK146" s="638"/>
      <c r="BL146" s="638"/>
      <c r="BM146" s="638"/>
      <c r="BN146" s="638"/>
      <c r="BO146" s="638"/>
      <c r="BP146" s="638"/>
      <c r="BQ146" s="638"/>
      <c r="BR146" s="638"/>
      <c r="BS146" s="638"/>
      <c r="BT146" s="638"/>
      <c r="BU146" s="638"/>
      <c r="BV146" s="638"/>
      <c r="BW146" s="638"/>
      <c r="BX146" s="638"/>
      <c r="BY146" s="638"/>
      <c r="BZ146" s="638"/>
      <c r="CA146" s="638"/>
      <c r="CB146" s="638"/>
      <c r="CC146" s="638"/>
      <c r="CD146" s="638"/>
      <c r="CE146" s="638"/>
      <c r="CF146" s="638"/>
      <c r="CG146" s="638"/>
      <c r="CH146" s="638"/>
      <c r="CI146" s="638"/>
      <c r="CJ146" s="638"/>
      <c r="CK146" s="638"/>
      <c r="CL146" s="638"/>
      <c r="CM146" s="638"/>
      <c r="CN146" s="638"/>
      <c r="CO146" s="638"/>
      <c r="CP146" s="638"/>
      <c r="CQ146" s="638"/>
      <c r="CR146" s="638"/>
      <c r="CS146" s="638"/>
      <c r="CT146" s="638"/>
    </row>
    <row r="147" spans="1:98" s="221" customFormat="1" outlineLevel="1" x14ac:dyDescent="0.25">
      <c r="C147" s="221" t="s">
        <v>68</v>
      </c>
      <c r="D147" s="222"/>
      <c r="E147" s="223">
        <f>E127</f>
        <v>2024</v>
      </c>
      <c r="F147" s="223">
        <f>E147+1</f>
        <v>2025</v>
      </c>
      <c r="G147" s="223">
        <f t="shared" ref="G147" si="9">F147+1</f>
        <v>2026</v>
      </c>
      <c r="H147" s="223">
        <f t="shared" ref="H147" si="10">G147+1</f>
        <v>2027</v>
      </c>
      <c r="I147" s="223">
        <f t="shared" ref="I147" si="11">H147+1</f>
        <v>2028</v>
      </c>
      <c r="J147" s="223">
        <f t="shared" ref="J147" si="12">I147+1</f>
        <v>2029</v>
      </c>
      <c r="K147" s="223">
        <f t="shared" ref="K147" si="13">J147+1</f>
        <v>2030</v>
      </c>
      <c r="L147" s="223">
        <f t="shared" ref="L147" si="14">K147+1</f>
        <v>2031</v>
      </c>
      <c r="M147" s="223">
        <f t="shared" ref="M147" si="15">L147+1</f>
        <v>2032</v>
      </c>
      <c r="N147" s="223">
        <f t="shared" ref="N147" si="16">M147+1</f>
        <v>2033</v>
      </c>
      <c r="O147" s="223">
        <f t="shared" ref="O147" si="17">N147+1</f>
        <v>2034</v>
      </c>
      <c r="P147" s="223"/>
      <c r="Q147" s="227"/>
      <c r="R147" s="227"/>
      <c r="S147" s="227"/>
      <c r="T147" s="227"/>
      <c r="U147" s="227"/>
      <c r="V147" s="227"/>
      <c r="W147" s="227"/>
      <c r="X147" s="227"/>
      <c r="Y147" s="227"/>
      <c r="Z147" s="227"/>
      <c r="AA147" s="227"/>
      <c r="AB147" s="227"/>
      <c r="AC147" s="227"/>
      <c r="AD147" s="227"/>
      <c r="AE147" s="227"/>
      <c r="AF147" s="227"/>
      <c r="AG147" s="227"/>
      <c r="AH147" s="227"/>
      <c r="AI147" s="227"/>
      <c r="AJ147" s="227"/>
      <c r="AK147" s="227"/>
      <c r="AL147" s="227"/>
      <c r="AM147" s="227"/>
      <c r="AN147" s="227"/>
      <c r="AO147" s="227"/>
      <c r="AP147" s="227"/>
      <c r="AQ147" s="227"/>
      <c r="AR147" s="227"/>
      <c r="AS147" s="227"/>
      <c r="AT147" s="227"/>
      <c r="AU147" s="227"/>
      <c r="AV147" s="227"/>
      <c r="AW147" s="227"/>
      <c r="AX147" s="227"/>
      <c r="AY147" s="227"/>
      <c r="AZ147" s="227"/>
      <c r="BA147" s="227"/>
      <c r="BB147" s="227"/>
      <c r="BC147" s="227"/>
      <c r="BD147" s="227"/>
      <c r="BE147" s="227"/>
      <c r="BF147" s="227"/>
      <c r="BG147" s="227"/>
      <c r="BH147" s="227"/>
      <c r="BI147" s="227"/>
      <c r="BJ147" s="227"/>
      <c r="BK147" s="227"/>
      <c r="BL147" s="227"/>
      <c r="BM147" s="227"/>
      <c r="BN147" s="227"/>
      <c r="BO147" s="227"/>
      <c r="BP147" s="227"/>
      <c r="BQ147" s="227"/>
      <c r="BR147" s="227"/>
      <c r="BS147" s="227"/>
      <c r="BT147" s="227"/>
      <c r="BU147" s="227"/>
      <c r="BV147" s="227"/>
      <c r="BW147" s="227"/>
      <c r="BX147" s="227"/>
      <c r="BY147" s="227"/>
      <c r="BZ147" s="227"/>
      <c r="CA147" s="227"/>
      <c r="CB147" s="227"/>
      <c r="CC147" s="227"/>
      <c r="CD147" s="227"/>
      <c r="CE147" s="227"/>
      <c r="CF147" s="227"/>
      <c r="CG147" s="227"/>
      <c r="CH147" s="227"/>
      <c r="CI147" s="227"/>
      <c r="CJ147" s="227"/>
      <c r="CK147" s="227"/>
      <c r="CL147" s="227"/>
      <c r="CM147" s="227"/>
      <c r="CN147" s="227"/>
      <c r="CO147" s="227"/>
      <c r="CP147" s="227"/>
      <c r="CQ147" s="227"/>
      <c r="CR147" s="227"/>
      <c r="CS147" s="227"/>
    </row>
    <row r="148" spans="1:98" s="424" customFormat="1" ht="13.9" customHeight="1" outlineLevel="1" x14ac:dyDescent="0.25">
      <c r="A148" s="638"/>
      <c r="B148" s="638"/>
      <c r="C148" s="227"/>
      <c r="D148" s="646"/>
      <c r="E148" s="647"/>
      <c r="F148" s="647"/>
      <c r="G148" s="647"/>
      <c r="H148" s="638"/>
      <c r="I148" s="638"/>
      <c r="J148" s="638"/>
      <c r="K148" s="638"/>
      <c r="L148" s="638"/>
      <c r="M148" s="638"/>
      <c r="N148" s="638"/>
      <c r="O148" s="638"/>
      <c r="P148" s="638"/>
      <c r="Q148" s="638"/>
      <c r="R148" s="638"/>
      <c r="S148" s="638"/>
      <c r="T148" s="638"/>
      <c r="U148" s="638"/>
      <c r="V148" s="638"/>
      <c r="W148" s="638"/>
      <c r="X148" s="638"/>
      <c r="Y148" s="638"/>
      <c r="Z148" s="638"/>
      <c r="AA148" s="638"/>
      <c r="AB148" s="638"/>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c r="BH148" s="638"/>
      <c r="BI148" s="638"/>
      <c r="BJ148" s="638"/>
      <c r="BK148" s="638"/>
      <c r="BL148" s="638"/>
      <c r="BM148" s="638"/>
      <c r="BN148" s="638"/>
      <c r="BO148" s="638"/>
      <c r="BP148" s="638"/>
      <c r="BQ148" s="638"/>
      <c r="BR148" s="638"/>
      <c r="BS148" s="638"/>
      <c r="BT148" s="638"/>
      <c r="BU148" s="638"/>
      <c r="BV148" s="638"/>
      <c r="BW148" s="638"/>
      <c r="BX148" s="638"/>
      <c r="BY148" s="638"/>
      <c r="BZ148" s="638"/>
      <c r="CA148" s="638"/>
      <c r="CB148" s="638"/>
      <c r="CC148" s="638"/>
      <c r="CD148" s="638"/>
      <c r="CE148" s="638"/>
      <c r="CF148" s="638"/>
      <c r="CG148" s="638"/>
      <c r="CH148" s="638"/>
      <c r="CI148" s="638"/>
      <c r="CJ148" s="638"/>
      <c r="CK148" s="638"/>
      <c r="CL148" s="638"/>
      <c r="CM148" s="638"/>
      <c r="CN148" s="638"/>
      <c r="CO148" s="638"/>
      <c r="CP148" s="638"/>
      <c r="CQ148" s="638"/>
      <c r="CR148" s="638"/>
      <c r="CS148" s="638"/>
      <c r="CT148" s="638"/>
    </row>
    <row r="149" spans="1:98" s="424" customFormat="1" outlineLevel="1" x14ac:dyDescent="0.25">
      <c r="A149" s="638"/>
      <c r="B149" s="646"/>
      <c r="C149" s="436" t="s">
        <v>69</v>
      </c>
      <c r="D149" s="647"/>
      <c r="E149" s="667">
        <f>E130</f>
        <v>350</v>
      </c>
      <c r="F149" s="229"/>
      <c r="G149" s="229"/>
      <c r="H149" s="229"/>
      <c r="I149" s="229"/>
      <c r="J149" s="229"/>
      <c r="K149" s="229"/>
      <c r="L149" s="229"/>
      <c r="M149" s="229"/>
      <c r="N149" s="229"/>
      <c r="O149" s="229"/>
      <c r="P149" s="647"/>
      <c r="Q149" s="647"/>
      <c r="R149" s="647"/>
      <c r="S149" s="647"/>
      <c r="T149" s="647"/>
      <c r="U149" s="647"/>
      <c r="V149" s="647"/>
      <c r="W149" s="647"/>
      <c r="X149" s="647"/>
      <c r="Y149" s="647"/>
      <c r="Z149" s="647"/>
      <c r="AA149" s="638"/>
      <c r="AB149" s="638"/>
      <c r="AC149" s="638"/>
      <c r="AD149" s="638"/>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c r="BH149" s="638"/>
      <c r="BI149" s="638"/>
      <c r="BJ149" s="638"/>
      <c r="BK149" s="638"/>
      <c r="BL149" s="638"/>
      <c r="BM149" s="638"/>
      <c r="BN149" s="638"/>
      <c r="BO149" s="638"/>
      <c r="BP149" s="638"/>
      <c r="BQ149" s="638"/>
      <c r="BR149" s="638"/>
      <c r="BS149" s="638"/>
      <c r="BT149" s="638"/>
      <c r="BU149" s="638"/>
      <c r="BV149" s="638"/>
      <c r="BW149" s="638"/>
      <c r="BX149" s="638"/>
      <c r="BY149" s="638"/>
      <c r="BZ149" s="638"/>
      <c r="CA149" s="638"/>
      <c r="CB149" s="638"/>
      <c r="CC149" s="638"/>
      <c r="CD149" s="638"/>
      <c r="CE149" s="638"/>
      <c r="CF149" s="638"/>
      <c r="CG149" s="638"/>
      <c r="CH149" s="638"/>
      <c r="CI149" s="638"/>
      <c r="CJ149" s="638"/>
      <c r="CK149" s="638"/>
      <c r="CL149" s="638"/>
      <c r="CM149" s="638"/>
      <c r="CN149" s="638"/>
      <c r="CO149" s="638"/>
      <c r="CP149" s="638"/>
      <c r="CQ149" s="638"/>
      <c r="CR149" s="638"/>
      <c r="CS149" s="638"/>
      <c r="CT149" s="638"/>
    </row>
    <row r="150" spans="1:98" s="424" customFormat="1" outlineLevel="1" x14ac:dyDescent="0.25">
      <c r="A150" s="638"/>
      <c r="B150" s="646"/>
      <c r="C150" s="436" t="s">
        <v>49</v>
      </c>
      <c r="D150" s="647"/>
      <c r="E150" s="458"/>
      <c r="F150" s="516">
        <v>7.0000000000000007E-2</v>
      </c>
      <c r="G150" s="516">
        <v>5.5E-2</v>
      </c>
      <c r="H150" s="516">
        <v>5.5E-2</v>
      </c>
      <c r="I150" s="516">
        <v>4.4999999999999998E-2</v>
      </c>
      <c r="J150" s="516">
        <v>4.4999999999999998E-2</v>
      </c>
      <c r="K150" s="516">
        <v>4.4999999999999998E-2</v>
      </c>
      <c r="L150" s="516">
        <v>4.4999999999999998E-2</v>
      </c>
      <c r="M150" s="516">
        <v>4.4999999999999998E-2</v>
      </c>
      <c r="N150" s="516">
        <v>3.5000000000000003E-2</v>
      </c>
      <c r="O150" s="516">
        <v>2.5000000000000001E-2</v>
      </c>
      <c r="P150" s="647"/>
      <c r="Q150" s="647"/>
      <c r="R150" s="647"/>
      <c r="S150" s="647"/>
      <c r="T150" s="647"/>
      <c r="U150" s="647"/>
      <c r="V150" s="647"/>
      <c r="W150" s="647"/>
      <c r="X150" s="647"/>
      <c r="Y150" s="647"/>
      <c r="Z150" s="647"/>
      <c r="AA150" s="638"/>
      <c r="AB150" s="638"/>
      <c r="AC150" s="638"/>
      <c r="AD150" s="638"/>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c r="BH150" s="638"/>
      <c r="BI150" s="638"/>
      <c r="BJ150" s="638"/>
      <c r="BK150" s="638"/>
      <c r="BL150" s="638"/>
      <c r="BM150" s="638"/>
      <c r="BN150" s="638"/>
      <c r="BO150" s="638"/>
      <c r="BP150" s="638"/>
      <c r="BQ150" s="638"/>
      <c r="BR150" s="638"/>
      <c r="BS150" s="638"/>
      <c r="BT150" s="638"/>
      <c r="BU150" s="638"/>
      <c r="BV150" s="638"/>
      <c r="BW150" s="638"/>
      <c r="BX150" s="638"/>
      <c r="BY150" s="638"/>
      <c r="BZ150" s="638"/>
      <c r="CA150" s="638"/>
      <c r="CB150" s="638"/>
      <c r="CC150" s="638"/>
      <c r="CD150" s="638"/>
      <c r="CE150" s="638"/>
      <c r="CF150" s="638"/>
      <c r="CG150" s="638"/>
      <c r="CH150" s="638"/>
      <c r="CI150" s="638"/>
      <c r="CJ150" s="638"/>
      <c r="CK150" s="638"/>
      <c r="CL150" s="638"/>
      <c r="CM150" s="638"/>
      <c r="CN150" s="638"/>
      <c r="CO150" s="638"/>
      <c r="CP150" s="638"/>
      <c r="CQ150" s="638"/>
      <c r="CR150" s="638"/>
      <c r="CS150" s="638"/>
      <c r="CT150" s="638"/>
    </row>
    <row r="151" spans="1:98" s="424" customFormat="1" outlineLevel="1" x14ac:dyDescent="0.25">
      <c r="A151" s="638"/>
      <c r="B151" s="646"/>
      <c r="C151" s="436" t="s">
        <v>70</v>
      </c>
      <c r="D151" s="647"/>
      <c r="E151" s="516">
        <v>0.42</v>
      </c>
      <c r="F151" s="516">
        <v>0.42</v>
      </c>
      <c r="G151" s="516">
        <v>0.42</v>
      </c>
      <c r="H151" s="516">
        <v>0.39</v>
      </c>
      <c r="I151" s="516">
        <v>0.39</v>
      </c>
      <c r="J151" s="516">
        <v>0.39</v>
      </c>
      <c r="K151" s="516">
        <v>0.35</v>
      </c>
      <c r="L151" s="516">
        <v>0.35</v>
      </c>
      <c r="M151" s="516">
        <v>0.35</v>
      </c>
      <c r="N151" s="516">
        <v>0.35</v>
      </c>
      <c r="O151" s="516">
        <v>0.35</v>
      </c>
      <c r="P151" s="647"/>
      <c r="Q151" s="647"/>
      <c r="R151" s="647"/>
      <c r="S151" s="647"/>
      <c r="T151" s="647"/>
      <c r="U151" s="647"/>
      <c r="V151" s="647"/>
      <c r="W151" s="647"/>
      <c r="X151" s="647"/>
      <c r="Y151" s="647"/>
      <c r="Z151" s="647"/>
      <c r="AA151" s="638"/>
      <c r="AB151" s="638"/>
      <c r="AC151" s="638"/>
      <c r="AD151" s="638"/>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c r="BH151" s="638"/>
      <c r="BI151" s="638"/>
      <c r="BJ151" s="638"/>
      <c r="BK151" s="638"/>
      <c r="BL151" s="638"/>
      <c r="BM151" s="638"/>
      <c r="BN151" s="638"/>
      <c r="BO151" s="638"/>
      <c r="BP151" s="638"/>
      <c r="BQ151" s="638"/>
      <c r="BR151" s="638"/>
      <c r="BS151" s="638"/>
      <c r="BT151" s="638"/>
      <c r="BU151" s="638"/>
      <c r="BV151" s="638"/>
      <c r="BW151" s="638"/>
      <c r="BX151" s="638"/>
      <c r="BY151" s="638"/>
      <c r="BZ151" s="638"/>
      <c r="CA151" s="638"/>
      <c r="CB151" s="638"/>
      <c r="CC151" s="638"/>
      <c r="CD151" s="638"/>
      <c r="CE151" s="638"/>
      <c r="CF151" s="638"/>
      <c r="CG151" s="638"/>
      <c r="CH151" s="638"/>
      <c r="CI151" s="638"/>
      <c r="CJ151" s="638"/>
      <c r="CK151" s="638"/>
      <c r="CL151" s="638"/>
      <c r="CM151" s="638"/>
      <c r="CN151" s="638"/>
      <c r="CO151" s="638"/>
      <c r="CP151" s="638"/>
      <c r="CQ151" s="638"/>
      <c r="CR151" s="638"/>
      <c r="CS151" s="638"/>
      <c r="CT151" s="638"/>
    </row>
    <row r="152" spans="1:98" s="424" customFormat="1" outlineLevel="1" x14ac:dyDescent="0.25">
      <c r="A152" s="638"/>
      <c r="B152" s="646"/>
      <c r="C152" s="436" t="s">
        <v>71</v>
      </c>
      <c r="D152" s="647" t="s">
        <v>13</v>
      </c>
      <c r="E152" s="668">
        <v>7</v>
      </c>
      <c r="F152" s="647"/>
      <c r="G152" s="647"/>
      <c r="H152" s="647"/>
      <c r="I152" s="647"/>
      <c r="J152" s="647"/>
      <c r="K152" s="647"/>
      <c r="L152" s="647"/>
      <c r="M152" s="647"/>
      <c r="N152" s="647"/>
      <c r="O152" s="647"/>
      <c r="P152" s="647"/>
      <c r="Q152" s="647"/>
      <c r="R152" s="647"/>
      <c r="S152" s="647"/>
      <c r="T152" s="647"/>
      <c r="U152" s="647"/>
      <c r="V152" s="647"/>
      <c r="W152" s="647"/>
      <c r="X152" s="647"/>
      <c r="Y152" s="647"/>
      <c r="Z152" s="647"/>
      <c r="AA152" s="638"/>
      <c r="AB152" s="638"/>
      <c r="AC152" s="638"/>
      <c r="AD152" s="638"/>
      <c r="AE152" s="638"/>
      <c r="AF152" s="638"/>
      <c r="AG152" s="638"/>
      <c r="AH152" s="638"/>
      <c r="AI152" s="638"/>
      <c r="AJ152" s="638"/>
      <c r="AK152" s="638"/>
      <c r="AL152" s="638"/>
      <c r="AM152" s="638"/>
      <c r="AN152" s="638"/>
      <c r="AO152" s="638"/>
      <c r="AP152" s="638"/>
      <c r="AQ152" s="638"/>
      <c r="AR152" s="638"/>
      <c r="AS152" s="638"/>
      <c r="AT152" s="638"/>
      <c r="AU152" s="638"/>
      <c r="AV152" s="638"/>
      <c r="AW152" s="638"/>
      <c r="AX152" s="638"/>
      <c r="AY152" s="638"/>
      <c r="AZ152" s="638"/>
      <c r="BA152" s="638"/>
      <c r="BB152" s="638"/>
      <c r="BC152" s="638"/>
      <c r="BD152" s="638"/>
      <c r="BE152" s="638"/>
      <c r="BF152" s="638"/>
      <c r="BG152" s="638"/>
      <c r="BH152" s="638"/>
      <c r="BI152" s="638"/>
      <c r="BJ152" s="638"/>
      <c r="BK152" s="638"/>
      <c r="BL152" s="638"/>
      <c r="BM152" s="638"/>
      <c r="BN152" s="638"/>
      <c r="BO152" s="638"/>
      <c r="BP152" s="638"/>
      <c r="BQ152" s="638"/>
      <c r="BR152" s="638"/>
      <c r="BS152" s="638"/>
      <c r="BT152" s="638"/>
      <c r="BU152" s="638"/>
      <c r="BV152" s="638"/>
      <c r="BW152" s="638"/>
      <c r="BX152" s="638"/>
      <c r="BY152" s="638"/>
      <c r="BZ152" s="638"/>
      <c r="CA152" s="638"/>
      <c r="CB152" s="638"/>
      <c r="CC152" s="638"/>
      <c r="CD152" s="638"/>
      <c r="CE152" s="638"/>
      <c r="CF152" s="638"/>
      <c r="CG152" s="638"/>
      <c r="CH152" s="638"/>
      <c r="CI152" s="638"/>
      <c r="CJ152" s="638"/>
      <c r="CK152" s="638"/>
      <c r="CL152" s="638"/>
      <c r="CM152" s="638"/>
      <c r="CN152" s="638"/>
      <c r="CO152" s="638"/>
      <c r="CP152" s="638"/>
      <c r="CQ152" s="638"/>
      <c r="CR152" s="638"/>
      <c r="CS152" s="638"/>
      <c r="CT152" s="638"/>
    </row>
    <row r="153" spans="1:98" s="424" customFormat="1" outlineLevel="1" x14ac:dyDescent="0.25">
      <c r="A153" s="638"/>
      <c r="B153" s="646"/>
      <c r="C153" s="436" t="s">
        <v>55</v>
      </c>
      <c r="D153" s="647" t="s">
        <v>12</v>
      </c>
      <c r="E153" s="657">
        <v>2.5000000000000001E-2</v>
      </c>
      <c r="F153" s="647"/>
      <c r="G153" s="647"/>
      <c r="H153" s="647"/>
      <c r="I153" s="647"/>
      <c r="J153" s="647"/>
      <c r="K153" s="647"/>
      <c r="L153" s="647"/>
      <c r="M153" s="647"/>
      <c r="N153" s="647"/>
      <c r="O153" s="647"/>
      <c r="P153" s="647"/>
      <c r="Q153" s="647"/>
      <c r="R153" s="647"/>
      <c r="S153" s="647"/>
      <c r="T153" s="647"/>
      <c r="U153" s="647"/>
      <c r="V153" s="647"/>
      <c r="W153" s="647"/>
      <c r="X153" s="647"/>
      <c r="Y153" s="647"/>
      <c r="Z153" s="647"/>
      <c r="AA153" s="638"/>
      <c r="AB153" s="638"/>
      <c r="AC153" s="638"/>
      <c r="AD153" s="638"/>
      <c r="AE153" s="638"/>
      <c r="AF153" s="638"/>
      <c r="AG153" s="638"/>
      <c r="AH153" s="638"/>
      <c r="AI153" s="638"/>
      <c r="AJ153" s="638"/>
      <c r="AK153" s="638"/>
      <c r="AL153" s="638"/>
      <c r="AM153" s="638"/>
      <c r="AN153" s="638"/>
      <c r="AO153" s="638"/>
      <c r="AP153" s="638"/>
      <c r="AQ153" s="638"/>
      <c r="AR153" s="638"/>
      <c r="AS153" s="638"/>
      <c r="AT153" s="638"/>
      <c r="AU153" s="638"/>
      <c r="AV153" s="638"/>
      <c r="AW153" s="638"/>
      <c r="AX153" s="638"/>
      <c r="AY153" s="638"/>
      <c r="AZ153" s="638"/>
      <c r="BA153" s="638"/>
      <c r="BB153" s="638"/>
      <c r="BC153" s="638"/>
      <c r="BD153" s="638"/>
      <c r="BE153" s="638"/>
      <c r="BF153" s="638"/>
      <c r="BG153" s="638"/>
      <c r="BH153" s="638"/>
      <c r="BI153" s="638"/>
      <c r="BJ153" s="638"/>
      <c r="BK153" s="638"/>
      <c r="BL153" s="638"/>
      <c r="BM153" s="638"/>
      <c r="BN153" s="638"/>
      <c r="BO153" s="638"/>
      <c r="BP153" s="638"/>
      <c r="BQ153" s="638"/>
      <c r="BR153" s="638"/>
      <c r="BS153" s="638"/>
      <c r="BT153" s="638"/>
      <c r="BU153" s="638"/>
      <c r="BV153" s="638"/>
      <c r="BW153" s="638"/>
      <c r="BX153" s="638"/>
      <c r="BY153" s="638"/>
      <c r="BZ153" s="638"/>
      <c r="CA153" s="638"/>
      <c r="CB153" s="638"/>
      <c r="CC153" s="638"/>
      <c r="CD153" s="638"/>
      <c r="CE153" s="638"/>
      <c r="CF153" s="638"/>
      <c r="CG153" s="638"/>
      <c r="CH153" s="638"/>
      <c r="CI153" s="638"/>
      <c r="CJ153" s="638"/>
      <c r="CK153" s="638"/>
      <c r="CL153" s="638"/>
      <c r="CM153" s="638"/>
      <c r="CN153" s="638"/>
      <c r="CO153" s="638"/>
      <c r="CP153" s="638"/>
      <c r="CQ153" s="638"/>
      <c r="CR153" s="638"/>
      <c r="CS153" s="638"/>
      <c r="CT153" s="638"/>
    </row>
    <row r="154" spans="1:98" s="424" customFormat="1" outlineLevel="1" x14ac:dyDescent="0.25">
      <c r="A154" s="638"/>
      <c r="B154" s="646"/>
      <c r="C154" s="436" t="s">
        <v>72</v>
      </c>
      <c r="D154" s="647" t="s">
        <v>12</v>
      </c>
      <c r="E154" s="669">
        <v>5.5E-2</v>
      </c>
      <c r="F154" s="647"/>
      <c r="G154" s="647"/>
      <c r="H154" s="647"/>
      <c r="I154" s="647"/>
      <c r="J154" s="647"/>
      <c r="K154" s="647"/>
      <c r="M154" s="647"/>
      <c r="N154" s="647"/>
      <c r="O154" s="647"/>
      <c r="P154" s="647"/>
      <c r="Q154" s="647"/>
      <c r="R154" s="647"/>
      <c r="S154" s="647"/>
      <c r="T154" s="647"/>
      <c r="U154" s="647"/>
      <c r="V154" s="647"/>
      <c r="W154" s="647"/>
      <c r="X154" s="647"/>
      <c r="Y154" s="647"/>
      <c r="Z154" s="647"/>
      <c r="AA154" s="638"/>
      <c r="AB154" s="638"/>
      <c r="AC154" s="638"/>
      <c r="AD154" s="638"/>
      <c r="AE154" s="638"/>
      <c r="AF154" s="638"/>
      <c r="AG154" s="638"/>
      <c r="AH154" s="638"/>
      <c r="AI154" s="638"/>
      <c r="AJ154" s="638"/>
      <c r="AK154" s="638"/>
      <c r="AL154" s="638"/>
      <c r="AM154" s="638"/>
      <c r="AN154" s="638"/>
      <c r="AO154" s="638"/>
      <c r="AP154" s="638"/>
      <c r="AQ154" s="638"/>
      <c r="AR154" s="638"/>
      <c r="AS154" s="638"/>
      <c r="AT154" s="638"/>
      <c r="AU154" s="638"/>
      <c r="AV154" s="638"/>
      <c r="AW154" s="638"/>
      <c r="AX154" s="638"/>
      <c r="AY154" s="638"/>
      <c r="AZ154" s="638"/>
      <c r="BA154" s="638"/>
      <c r="BB154" s="638"/>
      <c r="BC154" s="638"/>
      <c r="BD154" s="638"/>
      <c r="BE154" s="638"/>
      <c r="BF154" s="638"/>
      <c r="BG154" s="638"/>
      <c r="BH154" s="638"/>
      <c r="BI154" s="638"/>
      <c r="BJ154" s="638"/>
      <c r="BK154" s="638"/>
      <c r="BL154" s="638"/>
      <c r="BM154" s="638"/>
      <c r="BN154" s="638"/>
      <c r="BO154" s="638"/>
      <c r="BP154" s="638"/>
      <c r="BQ154" s="638"/>
      <c r="BR154" s="638"/>
      <c r="BS154" s="638"/>
      <c r="BT154" s="638"/>
      <c r="BU154" s="638"/>
      <c r="BV154" s="638"/>
      <c r="BW154" s="638"/>
      <c r="BX154" s="638"/>
      <c r="BY154" s="638"/>
      <c r="BZ154" s="638"/>
      <c r="CA154" s="638"/>
      <c r="CB154" s="638"/>
      <c r="CC154" s="638"/>
      <c r="CD154" s="638"/>
      <c r="CE154" s="638"/>
      <c r="CF154" s="638"/>
      <c r="CG154" s="638"/>
      <c r="CH154" s="638"/>
      <c r="CI154" s="638"/>
      <c r="CJ154" s="638"/>
      <c r="CK154" s="638"/>
      <c r="CL154" s="638"/>
      <c r="CM154" s="638"/>
      <c r="CN154" s="638"/>
      <c r="CO154" s="638"/>
      <c r="CP154" s="638"/>
      <c r="CQ154" s="638"/>
      <c r="CR154" s="638"/>
      <c r="CS154" s="638"/>
      <c r="CT154" s="638"/>
    </row>
    <row r="155" spans="1:98" s="424" customFormat="1" outlineLevel="1" x14ac:dyDescent="0.25">
      <c r="A155" s="638"/>
      <c r="B155" s="646"/>
      <c r="C155" s="436" t="s">
        <v>73</v>
      </c>
      <c r="D155" s="647" t="s">
        <v>13</v>
      </c>
      <c r="E155" s="522">
        <v>8</v>
      </c>
      <c r="G155" s="647"/>
      <c r="H155" s="647"/>
      <c r="I155" s="647"/>
      <c r="J155" s="647"/>
      <c r="K155" s="765" t="s">
        <v>345</v>
      </c>
      <c r="L155" s="766">
        <f>E159*1000*E160</f>
        <v>2375000000</v>
      </c>
      <c r="M155" s="647"/>
      <c r="N155" s="647"/>
      <c r="O155" s="647"/>
      <c r="P155" s="647"/>
      <c r="Q155" s="647"/>
      <c r="R155" s="647"/>
      <c r="S155" s="647"/>
      <c r="T155" s="647"/>
      <c r="U155" s="647"/>
      <c r="V155" s="647"/>
      <c r="W155" s="647"/>
      <c r="X155" s="647"/>
      <c r="Y155" s="647"/>
      <c r="Z155" s="647"/>
      <c r="AA155" s="638"/>
      <c r="AB155" s="638"/>
      <c r="AC155" s="638"/>
      <c r="AD155" s="638"/>
      <c r="AE155" s="638"/>
      <c r="AF155" s="638"/>
      <c r="AG155" s="638"/>
      <c r="AH155" s="638"/>
      <c r="AI155" s="638"/>
      <c r="AJ155" s="638"/>
      <c r="AK155" s="638"/>
      <c r="AL155" s="638"/>
      <c r="AM155" s="638"/>
      <c r="AN155" s="638"/>
      <c r="AO155" s="638"/>
      <c r="AP155" s="638"/>
      <c r="AQ155" s="638"/>
      <c r="AR155" s="638"/>
      <c r="AS155" s="638"/>
      <c r="AT155" s="638"/>
      <c r="AU155" s="638"/>
      <c r="AV155" s="638"/>
      <c r="AW155" s="638"/>
      <c r="AX155" s="638"/>
      <c r="AY155" s="638"/>
      <c r="AZ155" s="638"/>
      <c r="BA155" s="638"/>
      <c r="BB155" s="638"/>
      <c r="BC155" s="638"/>
      <c r="BD155" s="638"/>
      <c r="BE155" s="638"/>
      <c r="BF155" s="638"/>
      <c r="BG155" s="638"/>
      <c r="BH155" s="638"/>
      <c r="BI155" s="638"/>
      <c r="BJ155" s="638"/>
      <c r="BK155" s="638"/>
      <c r="BL155" s="638"/>
      <c r="BM155" s="638"/>
      <c r="BN155" s="638"/>
      <c r="BO155" s="638"/>
      <c r="BP155" s="638"/>
      <c r="BQ155" s="638"/>
      <c r="BR155" s="638"/>
      <c r="BS155" s="638"/>
      <c r="BT155" s="638"/>
      <c r="BU155" s="638"/>
      <c r="BV155" s="638"/>
      <c r="BW155" s="638"/>
      <c r="BX155" s="638"/>
      <c r="BY155" s="638"/>
      <c r="BZ155" s="638"/>
      <c r="CA155" s="638"/>
      <c r="CB155" s="638"/>
      <c r="CC155" s="638"/>
      <c r="CD155" s="638"/>
      <c r="CE155" s="638"/>
      <c r="CF155" s="638"/>
      <c r="CG155" s="638"/>
      <c r="CH155" s="638"/>
      <c r="CI155" s="638"/>
      <c r="CJ155" s="638"/>
      <c r="CK155" s="638"/>
      <c r="CL155" s="638"/>
      <c r="CM155" s="638"/>
      <c r="CN155" s="638"/>
      <c r="CO155" s="638"/>
      <c r="CP155" s="638"/>
      <c r="CQ155" s="638"/>
      <c r="CR155" s="638"/>
      <c r="CS155" s="638"/>
      <c r="CT155" s="638"/>
    </row>
    <row r="156" spans="1:98" s="424" customFormat="1" outlineLevel="1" x14ac:dyDescent="0.25">
      <c r="A156" s="638"/>
      <c r="B156" s="646"/>
      <c r="C156" s="436" t="s">
        <v>74</v>
      </c>
      <c r="D156" s="647" t="s">
        <v>12</v>
      </c>
      <c r="E156" s="458">
        <v>0.25</v>
      </c>
      <c r="F156" s="760" t="s">
        <v>15</v>
      </c>
      <c r="G156" s="761" t="s">
        <v>343</v>
      </c>
      <c r="H156" s="762"/>
      <c r="I156" s="763" t="s">
        <v>344</v>
      </c>
      <c r="K156" s="767" t="s">
        <v>346</v>
      </c>
      <c r="L156" s="768">
        <f>'2-Valuation DCF'!I143*1000*E160</f>
        <v>180000000</v>
      </c>
      <c r="M156" s="647"/>
      <c r="N156" s="647"/>
      <c r="O156" s="647"/>
      <c r="P156" s="647"/>
      <c r="Q156" s="647"/>
      <c r="R156" s="647"/>
      <c r="S156" s="647"/>
      <c r="T156" s="647"/>
      <c r="U156" s="647"/>
      <c r="V156" s="647"/>
      <c r="W156" s="647"/>
      <c r="X156" s="647"/>
      <c r="Y156" s="647"/>
      <c r="Z156" s="647"/>
      <c r="AA156" s="638"/>
      <c r="AB156" s="638"/>
      <c r="AC156" s="638"/>
      <c r="AD156" s="638"/>
      <c r="AE156" s="638"/>
      <c r="AF156" s="638"/>
      <c r="AG156" s="638"/>
      <c r="AH156" s="638"/>
      <c r="AI156" s="638"/>
      <c r="AJ156" s="638"/>
      <c r="AK156" s="638"/>
      <c r="AL156" s="638"/>
      <c r="AM156" s="638"/>
      <c r="AN156" s="638"/>
      <c r="AO156" s="638"/>
      <c r="AP156" s="638"/>
      <c r="AQ156" s="638"/>
      <c r="AR156" s="638"/>
      <c r="AS156" s="638"/>
      <c r="AT156" s="638"/>
      <c r="AU156" s="638"/>
      <c r="AV156" s="638"/>
      <c r="AW156" s="638"/>
      <c r="AX156" s="638"/>
      <c r="AY156" s="638"/>
      <c r="AZ156" s="638"/>
      <c r="BA156" s="638"/>
      <c r="BB156" s="638"/>
      <c r="BC156" s="638"/>
      <c r="BD156" s="638"/>
      <c r="BE156" s="638"/>
      <c r="BF156" s="638"/>
      <c r="BG156" s="638"/>
      <c r="BH156" s="638"/>
      <c r="BI156" s="638"/>
      <c r="BJ156" s="638"/>
      <c r="BK156" s="638"/>
      <c r="BL156" s="638"/>
      <c r="BM156" s="638"/>
      <c r="BN156" s="638"/>
      <c r="BO156" s="638"/>
      <c r="BP156" s="638"/>
      <c r="BQ156" s="638"/>
      <c r="BR156" s="638"/>
      <c r="BS156" s="638"/>
      <c r="BT156" s="638"/>
      <c r="BU156" s="638"/>
      <c r="BV156" s="638"/>
      <c r="BW156" s="638"/>
      <c r="BX156" s="638"/>
      <c r="BY156" s="638"/>
      <c r="BZ156" s="638"/>
      <c r="CA156" s="638"/>
      <c r="CB156" s="638"/>
      <c r="CC156" s="638"/>
      <c r="CD156" s="638"/>
      <c r="CE156" s="638"/>
      <c r="CF156" s="638"/>
      <c r="CG156" s="638"/>
      <c r="CH156" s="638"/>
      <c r="CI156" s="638"/>
      <c r="CJ156" s="638"/>
      <c r="CK156" s="638"/>
      <c r="CL156" s="638"/>
      <c r="CM156" s="638"/>
      <c r="CN156" s="638"/>
      <c r="CO156" s="638"/>
      <c r="CP156" s="638"/>
      <c r="CQ156" s="638"/>
      <c r="CR156" s="638"/>
      <c r="CS156" s="638"/>
      <c r="CT156" s="638"/>
    </row>
    <row r="157" spans="1:98" s="424" customFormat="1" outlineLevel="1" x14ac:dyDescent="0.25">
      <c r="A157" s="638"/>
      <c r="B157" s="646"/>
      <c r="C157" s="436" t="s">
        <v>58</v>
      </c>
      <c r="D157" s="647" t="s">
        <v>12</v>
      </c>
      <c r="E157" s="513">
        <v>3.5000000000000003E-2</v>
      </c>
      <c r="F157" s="757">
        <f>L157/1000000</f>
        <v>2555</v>
      </c>
      <c r="G157" s="758">
        <f>'2-Valuation DCF'!E167</f>
        <v>980</v>
      </c>
      <c r="H157" s="758"/>
      <c r="I157" s="764">
        <f>G157/F157</f>
        <v>0.38356164383561642</v>
      </c>
      <c r="K157" s="769" t="s">
        <v>347</v>
      </c>
      <c r="L157" s="759">
        <f>L156+L155</f>
        <v>2555000000</v>
      </c>
      <c r="M157" s="647"/>
      <c r="N157" s="647"/>
      <c r="O157" s="647"/>
      <c r="P157" s="647"/>
      <c r="Q157" s="647"/>
      <c r="R157" s="647"/>
      <c r="S157" s="647"/>
      <c r="T157" s="647"/>
      <c r="U157" s="647"/>
      <c r="V157" s="647"/>
      <c r="W157" s="647"/>
      <c r="X157" s="647"/>
      <c r="Y157" s="647"/>
      <c r="Z157" s="647"/>
      <c r="AA157" s="638"/>
      <c r="AB157" s="638"/>
      <c r="AC157" s="638"/>
      <c r="AD157" s="638"/>
      <c r="AE157" s="638"/>
      <c r="AF157" s="638"/>
      <c r="AG157" s="638"/>
      <c r="AH157" s="638"/>
      <c r="AI157" s="638"/>
      <c r="AJ157" s="638"/>
      <c r="AK157" s="638"/>
      <c r="AL157" s="638"/>
      <c r="AM157" s="638"/>
      <c r="AN157" s="638"/>
      <c r="AO157" s="638"/>
      <c r="AP157" s="638"/>
      <c r="AQ157" s="638"/>
      <c r="AR157" s="638"/>
      <c r="AS157" s="638"/>
      <c r="AT157" s="638"/>
      <c r="AU157" s="638"/>
      <c r="AV157" s="638"/>
      <c r="AW157" s="638"/>
      <c r="AX157" s="638"/>
      <c r="AY157" s="638"/>
      <c r="AZ157" s="638"/>
      <c r="BA157" s="638"/>
      <c r="BB157" s="638"/>
      <c r="BC157" s="638"/>
      <c r="BD157" s="638"/>
      <c r="BE157" s="638"/>
      <c r="BF157" s="638"/>
      <c r="BG157" s="638"/>
      <c r="BH157" s="638"/>
      <c r="BI157" s="638"/>
      <c r="BJ157" s="638"/>
      <c r="BK157" s="638"/>
      <c r="BL157" s="638"/>
      <c r="BM157" s="638"/>
      <c r="BN157" s="638"/>
      <c r="BO157" s="638"/>
      <c r="BP157" s="638"/>
      <c r="BQ157" s="638"/>
      <c r="BR157" s="638"/>
      <c r="BS157" s="638"/>
      <c r="BT157" s="638"/>
      <c r="BU157" s="638"/>
      <c r="BV157" s="638"/>
      <c r="BW157" s="638"/>
      <c r="BX157" s="638"/>
      <c r="BY157" s="638"/>
      <c r="BZ157" s="638"/>
      <c r="CA157" s="638"/>
      <c r="CB157" s="638"/>
      <c r="CC157" s="638"/>
      <c r="CD157" s="638"/>
      <c r="CE157" s="638"/>
      <c r="CF157" s="638"/>
      <c r="CG157" s="638"/>
      <c r="CH157" s="638"/>
      <c r="CI157" s="638"/>
      <c r="CJ157" s="638"/>
      <c r="CK157" s="638"/>
      <c r="CL157" s="638"/>
      <c r="CM157" s="638"/>
      <c r="CN157" s="638"/>
      <c r="CO157" s="638"/>
      <c r="CP157" s="638"/>
      <c r="CQ157" s="638"/>
      <c r="CR157" s="638"/>
      <c r="CS157" s="638"/>
      <c r="CT157" s="638"/>
    </row>
    <row r="158" spans="1:98" s="424" customFormat="1" outlineLevel="1" x14ac:dyDescent="0.25">
      <c r="A158" s="638"/>
      <c r="B158" s="646"/>
      <c r="C158" s="436" t="s">
        <v>59</v>
      </c>
      <c r="D158" s="647" t="s">
        <v>13</v>
      </c>
      <c r="E158" s="512">
        <v>0</v>
      </c>
      <c r="F158" s="647"/>
      <c r="G158" s="647"/>
      <c r="H158" s="647"/>
      <c r="I158" s="647"/>
      <c r="J158" s="647"/>
      <c r="K158" s="647"/>
      <c r="L158" s="647"/>
      <c r="M158" s="647"/>
      <c r="N158" s="647"/>
      <c r="O158" s="647"/>
      <c r="P158" s="647"/>
      <c r="Q158" s="647"/>
      <c r="R158" s="647"/>
      <c r="S158" s="647"/>
      <c r="T158" s="647"/>
      <c r="U158" s="647"/>
      <c r="V158" s="647"/>
      <c r="W158" s="647"/>
      <c r="X158" s="647"/>
      <c r="Y158" s="647"/>
      <c r="Z158" s="647"/>
      <c r="AA158" s="638"/>
      <c r="AB158" s="638"/>
      <c r="AC158" s="638"/>
      <c r="AD158" s="638"/>
      <c r="AE158" s="638"/>
      <c r="AF158" s="638"/>
      <c r="AG158" s="638"/>
      <c r="AH158" s="638"/>
      <c r="AI158" s="638"/>
      <c r="AJ158" s="638"/>
      <c r="AK158" s="638"/>
      <c r="AL158" s="638"/>
      <c r="AM158" s="638"/>
      <c r="AN158" s="638"/>
      <c r="AO158" s="638"/>
      <c r="AP158" s="638"/>
      <c r="AQ158" s="638"/>
      <c r="AR158" s="638"/>
      <c r="AS158" s="638"/>
      <c r="AT158" s="638"/>
      <c r="AU158" s="638"/>
      <c r="AV158" s="638"/>
      <c r="AW158" s="638"/>
      <c r="AX158" s="638"/>
      <c r="AY158" s="638"/>
      <c r="AZ158" s="638"/>
      <c r="BA158" s="638"/>
      <c r="BB158" s="638"/>
      <c r="BC158" s="638"/>
      <c r="BD158" s="638"/>
      <c r="BE158" s="638"/>
      <c r="BF158" s="638"/>
      <c r="BG158" s="638"/>
      <c r="BH158" s="638"/>
      <c r="BI158" s="638"/>
      <c r="BJ158" s="638"/>
      <c r="BK158" s="638"/>
      <c r="BL158" s="638"/>
      <c r="BM158" s="638"/>
      <c r="BN158" s="638"/>
      <c r="BO158" s="638"/>
      <c r="BP158" s="638"/>
      <c r="BQ158" s="638"/>
      <c r="BR158" s="638"/>
      <c r="BS158" s="638"/>
      <c r="BT158" s="638"/>
      <c r="BU158" s="638"/>
      <c r="BV158" s="638"/>
      <c r="BW158" s="638"/>
      <c r="BX158" s="638"/>
      <c r="BY158" s="638"/>
      <c r="BZ158" s="638"/>
      <c r="CA158" s="638"/>
      <c r="CB158" s="638"/>
      <c r="CC158" s="638"/>
      <c r="CD158" s="638"/>
      <c r="CE158" s="638"/>
      <c r="CF158" s="638"/>
      <c r="CG158" s="638"/>
      <c r="CH158" s="638"/>
      <c r="CI158" s="638"/>
      <c r="CJ158" s="638"/>
      <c r="CK158" s="638"/>
      <c r="CL158" s="638"/>
      <c r="CM158" s="638"/>
      <c r="CN158" s="638"/>
      <c r="CO158" s="638"/>
      <c r="CP158" s="638"/>
      <c r="CQ158" s="638"/>
      <c r="CR158" s="638"/>
      <c r="CS158" s="638"/>
      <c r="CT158" s="638"/>
    </row>
    <row r="159" spans="1:98" s="424" customFormat="1" outlineLevel="1" x14ac:dyDescent="0.25">
      <c r="A159" s="638"/>
      <c r="B159" s="646"/>
      <c r="C159" s="436" t="s">
        <v>60</v>
      </c>
      <c r="D159" s="647" t="s">
        <v>61</v>
      </c>
      <c r="E159" s="670">
        <v>25000</v>
      </c>
      <c r="F159" s="647"/>
      <c r="G159" s="647"/>
      <c r="H159" s="647"/>
      <c r="I159" s="647"/>
      <c r="J159" s="647"/>
      <c r="K159" s="647"/>
      <c r="L159" s="647"/>
      <c r="M159" s="647"/>
      <c r="N159" s="647"/>
      <c r="O159" s="647"/>
      <c r="P159" s="647"/>
      <c r="Q159" s="647"/>
      <c r="R159" s="647"/>
      <c r="S159" s="647"/>
      <c r="T159" s="647"/>
      <c r="U159" s="647"/>
      <c r="V159" s="647"/>
      <c r="W159" s="647"/>
      <c r="X159" s="647"/>
      <c r="Y159" s="647"/>
      <c r="Z159" s="647"/>
      <c r="AA159" s="638"/>
      <c r="AB159" s="638"/>
      <c r="AC159" s="638"/>
      <c r="AD159" s="638"/>
      <c r="AE159" s="638"/>
      <c r="AF159" s="638"/>
      <c r="AG159" s="638"/>
      <c r="AH159" s="638"/>
      <c r="AI159" s="638"/>
      <c r="AJ159" s="638"/>
      <c r="AK159" s="638"/>
      <c r="AL159" s="638"/>
      <c r="AM159" s="638"/>
      <c r="AN159" s="638"/>
      <c r="AO159" s="638"/>
      <c r="AP159" s="638"/>
      <c r="AQ159" s="638"/>
      <c r="AR159" s="638"/>
      <c r="AS159" s="638"/>
      <c r="AT159" s="638"/>
      <c r="AU159" s="638"/>
      <c r="AV159" s="638"/>
      <c r="AW159" s="638"/>
      <c r="AX159" s="638"/>
      <c r="AY159" s="638"/>
      <c r="AZ159" s="638"/>
      <c r="BA159" s="638"/>
      <c r="BB159" s="638"/>
      <c r="BC159" s="638"/>
      <c r="BD159" s="638"/>
      <c r="BE159" s="638"/>
      <c r="BF159" s="638"/>
      <c r="BG159" s="638"/>
      <c r="BH159" s="638"/>
      <c r="BI159" s="638"/>
      <c r="BJ159" s="638"/>
      <c r="BK159" s="638"/>
      <c r="BL159" s="638"/>
      <c r="BM159" s="638"/>
      <c r="BN159" s="638"/>
      <c r="BO159" s="638"/>
      <c r="BP159" s="638"/>
      <c r="BQ159" s="638"/>
      <c r="BR159" s="638"/>
      <c r="BS159" s="638"/>
      <c r="BT159" s="638"/>
      <c r="BU159" s="638"/>
      <c r="BV159" s="638"/>
      <c r="BW159" s="638"/>
      <c r="BX159" s="638"/>
      <c r="BY159" s="638"/>
      <c r="BZ159" s="638"/>
      <c r="CA159" s="638"/>
      <c r="CB159" s="638"/>
      <c r="CC159" s="638"/>
      <c r="CD159" s="638"/>
      <c r="CE159" s="638"/>
      <c r="CF159" s="638"/>
      <c r="CG159" s="638"/>
      <c r="CH159" s="638"/>
      <c r="CI159" s="638"/>
      <c r="CJ159" s="638"/>
      <c r="CK159" s="638"/>
      <c r="CL159" s="638"/>
      <c r="CM159" s="638"/>
      <c r="CN159" s="638"/>
      <c r="CO159" s="638"/>
      <c r="CP159" s="638"/>
      <c r="CQ159" s="638"/>
      <c r="CR159" s="638"/>
      <c r="CS159" s="638"/>
      <c r="CT159" s="638"/>
    </row>
    <row r="160" spans="1:98" s="424" customFormat="1" outlineLevel="1" x14ac:dyDescent="0.25">
      <c r="A160" s="638"/>
      <c r="B160" s="646"/>
      <c r="C160" s="459" t="s">
        <v>75</v>
      </c>
      <c r="D160" s="658" t="s">
        <v>63</v>
      </c>
      <c r="E160" s="671">
        <v>95</v>
      </c>
      <c r="F160" s="521"/>
      <c r="G160" s="647"/>
      <c r="H160" s="647"/>
      <c r="I160" s="647"/>
      <c r="J160" s="647"/>
      <c r="K160" s="647"/>
      <c r="L160" s="647"/>
      <c r="M160" s="647"/>
      <c r="N160" s="647"/>
      <c r="O160" s="647"/>
      <c r="P160" s="647"/>
      <c r="Q160" s="647"/>
      <c r="R160" s="647"/>
      <c r="S160" s="647"/>
      <c r="T160" s="647"/>
      <c r="U160" s="647"/>
      <c r="V160" s="647"/>
      <c r="W160" s="647"/>
      <c r="X160" s="647"/>
      <c r="Y160" s="647"/>
      <c r="Z160" s="647"/>
      <c r="AA160" s="638"/>
      <c r="AB160" s="638"/>
      <c r="AC160" s="638"/>
      <c r="AD160" s="638"/>
      <c r="AE160" s="638"/>
      <c r="AF160" s="638"/>
      <c r="AG160" s="638"/>
      <c r="AH160" s="638"/>
      <c r="AI160" s="638"/>
      <c r="AJ160" s="638"/>
      <c r="AK160" s="638"/>
      <c r="AL160" s="638"/>
      <c r="AM160" s="638"/>
      <c r="AN160" s="638"/>
      <c r="AO160" s="638"/>
      <c r="AP160" s="638"/>
      <c r="AQ160" s="638"/>
      <c r="AR160" s="638"/>
      <c r="AS160" s="638"/>
      <c r="AT160" s="638"/>
      <c r="AU160" s="638"/>
      <c r="AV160" s="638"/>
      <c r="AW160" s="638"/>
      <c r="AX160" s="638"/>
      <c r="AY160" s="638"/>
      <c r="AZ160" s="638"/>
      <c r="BA160" s="638"/>
      <c r="BB160" s="638"/>
      <c r="BC160" s="638"/>
      <c r="BD160" s="638"/>
      <c r="BE160" s="638"/>
      <c r="BF160" s="638"/>
      <c r="BG160" s="638"/>
      <c r="BH160" s="638"/>
      <c r="BI160" s="638"/>
      <c r="BJ160" s="638"/>
      <c r="BK160" s="638"/>
      <c r="BL160" s="638"/>
      <c r="BM160" s="638"/>
      <c r="BN160" s="638"/>
      <c r="BO160" s="638"/>
      <c r="BP160" s="638"/>
      <c r="BQ160" s="638"/>
      <c r="BR160" s="638"/>
      <c r="BS160" s="638"/>
      <c r="BT160" s="638"/>
      <c r="BU160" s="638"/>
      <c r="BV160" s="638"/>
      <c r="BW160" s="638"/>
      <c r="BX160" s="638"/>
      <c r="BY160" s="638"/>
      <c r="BZ160" s="638"/>
      <c r="CA160" s="638"/>
      <c r="CB160" s="638"/>
      <c r="CC160" s="638"/>
      <c r="CD160" s="638"/>
      <c r="CE160" s="638"/>
      <c r="CF160" s="638"/>
      <c r="CG160" s="638"/>
      <c r="CH160" s="638"/>
      <c r="CI160" s="638"/>
      <c r="CJ160" s="638"/>
      <c r="CK160" s="638"/>
      <c r="CL160" s="638"/>
      <c r="CM160" s="638"/>
      <c r="CN160" s="638"/>
      <c r="CO160" s="638"/>
      <c r="CP160" s="638"/>
      <c r="CQ160" s="638"/>
      <c r="CR160" s="638"/>
      <c r="CS160" s="638"/>
      <c r="CT160" s="638"/>
    </row>
    <row r="161" spans="1:98" s="424" customFormat="1" outlineLevel="1" x14ac:dyDescent="0.25">
      <c r="A161" s="638"/>
      <c r="B161" s="646"/>
      <c r="C161" s="638" t="s">
        <v>76</v>
      </c>
      <c r="D161" s="646"/>
      <c r="E161" s="672">
        <v>4.4999999999999998E-2</v>
      </c>
      <c r="F161" s="647"/>
      <c r="G161" s="647"/>
      <c r="H161" s="647"/>
      <c r="I161" s="647"/>
      <c r="J161" s="647"/>
      <c r="K161" s="647"/>
      <c r="L161" s="647"/>
      <c r="M161" s="647"/>
      <c r="N161" s="647"/>
      <c r="O161" s="647"/>
      <c r="P161" s="647"/>
      <c r="Q161" s="647"/>
      <c r="R161" s="647"/>
      <c r="S161" s="647"/>
      <c r="T161" s="647"/>
      <c r="U161" s="647"/>
      <c r="V161" s="647"/>
      <c r="W161" s="647"/>
      <c r="X161" s="647"/>
      <c r="Y161" s="647"/>
      <c r="Z161" s="647"/>
      <c r="AA161" s="638"/>
      <c r="AB161" s="638"/>
      <c r="AC161" s="638"/>
      <c r="AD161" s="638"/>
      <c r="AE161" s="638"/>
      <c r="AF161" s="638"/>
      <c r="AG161" s="638"/>
      <c r="AH161" s="638"/>
      <c r="AI161" s="638"/>
      <c r="AJ161" s="638"/>
      <c r="AK161" s="638"/>
      <c r="AL161" s="638"/>
      <c r="AM161" s="638"/>
      <c r="AN161" s="638"/>
      <c r="AO161" s="638"/>
      <c r="AP161" s="638"/>
      <c r="AQ161" s="638"/>
      <c r="AR161" s="638"/>
      <c r="AS161" s="638"/>
      <c r="AT161" s="638"/>
      <c r="AU161" s="638"/>
      <c r="AV161" s="638"/>
      <c r="AW161" s="638"/>
      <c r="AX161" s="638"/>
      <c r="AY161" s="638"/>
      <c r="AZ161" s="638"/>
      <c r="BA161" s="638"/>
      <c r="BB161" s="638"/>
      <c r="BC161" s="638"/>
      <c r="BD161" s="638"/>
      <c r="BE161" s="638"/>
      <c r="BF161" s="638"/>
      <c r="BG161" s="638"/>
      <c r="BH161" s="638"/>
      <c r="BI161" s="638"/>
      <c r="BJ161" s="638"/>
      <c r="BK161" s="638"/>
      <c r="BL161" s="638"/>
      <c r="BM161" s="638"/>
      <c r="BN161" s="638"/>
      <c r="BO161" s="638"/>
      <c r="BP161" s="638"/>
      <c r="BQ161" s="638"/>
      <c r="BR161" s="638"/>
      <c r="BS161" s="638"/>
      <c r="BT161" s="638"/>
      <c r="BU161" s="638"/>
      <c r="BV161" s="638"/>
      <c r="BW161" s="638"/>
      <c r="BX161" s="638"/>
      <c r="BY161" s="638"/>
      <c r="BZ161" s="638"/>
      <c r="CA161" s="638"/>
      <c r="CB161" s="638"/>
      <c r="CC161" s="638"/>
      <c r="CD161" s="638"/>
      <c r="CE161" s="638"/>
      <c r="CF161" s="638"/>
      <c r="CG161" s="638"/>
      <c r="CH161" s="638"/>
      <c r="CI161" s="638"/>
      <c r="CJ161" s="638"/>
      <c r="CK161" s="638"/>
      <c r="CL161" s="638"/>
      <c r="CM161" s="638"/>
      <c r="CN161" s="638"/>
      <c r="CO161" s="638"/>
      <c r="CP161" s="638"/>
      <c r="CQ161" s="638"/>
      <c r="CR161" s="638"/>
      <c r="CS161" s="638"/>
      <c r="CT161" s="638"/>
    </row>
    <row r="162" spans="1:98" s="424" customFormat="1" outlineLevel="1" x14ac:dyDescent="0.25">
      <c r="A162" s="638"/>
      <c r="B162" s="646"/>
      <c r="C162" s="638" t="s">
        <v>77</v>
      </c>
      <c r="D162" s="646"/>
      <c r="E162" s="672">
        <v>7.0000000000000007E-2</v>
      </c>
      <c r="F162" s="647"/>
      <c r="G162" s="647"/>
      <c r="H162" s="647"/>
      <c r="I162" s="647"/>
      <c r="J162" s="647"/>
      <c r="K162" s="647"/>
      <c r="L162" s="647"/>
      <c r="M162" s="647"/>
      <c r="N162" s="647"/>
      <c r="O162" s="647"/>
      <c r="P162" s="647"/>
      <c r="Q162" s="647"/>
      <c r="R162" s="647"/>
      <c r="S162" s="647"/>
      <c r="T162" s="647"/>
      <c r="U162" s="647"/>
      <c r="V162" s="647"/>
      <c r="W162" s="647"/>
      <c r="X162" s="647"/>
      <c r="Y162" s="647"/>
      <c r="Z162" s="647"/>
      <c r="AA162" s="638"/>
      <c r="AB162" s="638"/>
      <c r="AC162" s="638"/>
      <c r="AD162" s="638"/>
      <c r="AE162" s="638"/>
      <c r="AF162" s="638"/>
      <c r="AG162" s="638"/>
      <c r="AH162" s="638"/>
      <c r="AI162" s="638"/>
      <c r="AJ162" s="638"/>
      <c r="AK162" s="638"/>
      <c r="AL162" s="638"/>
      <c r="AM162" s="638"/>
      <c r="AN162" s="638"/>
      <c r="AO162" s="638"/>
      <c r="AP162" s="638"/>
      <c r="AQ162" s="638"/>
      <c r="AR162" s="638"/>
      <c r="AS162" s="638"/>
      <c r="AT162" s="638"/>
      <c r="AU162" s="638"/>
      <c r="AV162" s="638"/>
      <c r="AW162" s="638"/>
      <c r="AX162" s="638"/>
      <c r="AY162" s="638"/>
      <c r="AZ162" s="638"/>
      <c r="BA162" s="638"/>
      <c r="BB162" s="638"/>
      <c r="BC162" s="638"/>
      <c r="BD162" s="638"/>
      <c r="BE162" s="638"/>
      <c r="BF162" s="638"/>
      <c r="BG162" s="638"/>
      <c r="BH162" s="638"/>
      <c r="BI162" s="638"/>
      <c r="BJ162" s="638"/>
      <c r="BK162" s="638"/>
      <c r="BL162" s="638"/>
      <c r="BM162" s="638"/>
      <c r="BN162" s="638"/>
      <c r="BO162" s="638"/>
      <c r="BP162" s="638"/>
      <c r="BQ162" s="638"/>
      <c r="BR162" s="638"/>
      <c r="BS162" s="638"/>
      <c r="BT162" s="638"/>
      <c r="BU162" s="638"/>
      <c r="BV162" s="638"/>
      <c r="BW162" s="638"/>
      <c r="BX162" s="638"/>
      <c r="BY162" s="638"/>
      <c r="BZ162" s="638"/>
      <c r="CA162" s="638"/>
      <c r="CB162" s="638"/>
      <c r="CC162" s="638"/>
      <c r="CD162" s="638"/>
      <c r="CE162" s="638"/>
      <c r="CF162" s="638"/>
      <c r="CG162" s="638"/>
      <c r="CH162" s="638"/>
      <c r="CI162" s="638"/>
      <c r="CJ162" s="638"/>
      <c r="CK162" s="638"/>
      <c r="CL162" s="638"/>
      <c r="CM162" s="638"/>
      <c r="CN162" s="638"/>
      <c r="CO162" s="638"/>
      <c r="CP162" s="638"/>
      <c r="CQ162" s="638"/>
      <c r="CR162" s="638"/>
      <c r="CS162" s="638"/>
      <c r="CT162" s="638"/>
    </row>
    <row r="163" spans="1:98" s="424" customFormat="1" outlineLevel="1" x14ac:dyDescent="0.25">
      <c r="A163" s="638"/>
      <c r="B163" s="646"/>
      <c r="C163" s="638" t="s">
        <v>78</v>
      </c>
      <c r="D163" s="646"/>
      <c r="E163" s="673">
        <v>10</v>
      </c>
      <c r="F163" s="647"/>
      <c r="G163" s="647"/>
      <c r="H163" s="647"/>
      <c r="I163" s="647"/>
      <c r="J163" s="647"/>
      <c r="K163" s="647"/>
      <c r="L163" s="647"/>
      <c r="M163" s="647"/>
      <c r="N163" s="647"/>
      <c r="O163" s="647"/>
      <c r="P163" s="647"/>
      <c r="Q163" s="647"/>
      <c r="R163" s="647"/>
      <c r="S163" s="647"/>
      <c r="T163" s="647"/>
      <c r="U163" s="647"/>
      <c r="V163" s="647"/>
      <c r="W163" s="647"/>
      <c r="X163" s="647"/>
      <c r="Y163" s="647"/>
      <c r="Z163" s="647"/>
      <c r="AA163" s="638"/>
      <c r="AB163" s="638"/>
      <c r="AC163" s="638"/>
      <c r="AD163" s="638"/>
      <c r="AE163" s="638"/>
      <c r="AF163" s="638"/>
      <c r="AG163" s="638"/>
      <c r="AH163" s="638"/>
      <c r="AI163" s="638"/>
      <c r="AJ163" s="638"/>
      <c r="AK163" s="638"/>
      <c r="AL163" s="638"/>
      <c r="AM163" s="638"/>
      <c r="AN163" s="638"/>
      <c r="AO163" s="638"/>
      <c r="AP163" s="638"/>
      <c r="AQ163" s="638"/>
      <c r="AR163" s="638"/>
      <c r="AS163" s="638"/>
      <c r="AT163" s="638"/>
      <c r="AU163" s="638"/>
      <c r="AV163" s="638"/>
      <c r="AW163" s="638"/>
      <c r="AX163" s="638"/>
      <c r="AY163" s="638"/>
      <c r="AZ163" s="638"/>
      <c r="BA163" s="638"/>
      <c r="BB163" s="638"/>
      <c r="BC163" s="638"/>
      <c r="BD163" s="638"/>
      <c r="BE163" s="638"/>
      <c r="BF163" s="638"/>
      <c r="BG163" s="638"/>
      <c r="BH163" s="638"/>
      <c r="BI163" s="638"/>
      <c r="BJ163" s="638"/>
      <c r="BK163" s="638"/>
      <c r="BL163" s="638"/>
      <c r="BM163" s="638"/>
      <c r="BN163" s="638"/>
      <c r="BO163" s="638"/>
      <c r="BP163" s="638"/>
      <c r="BQ163" s="638"/>
      <c r="BR163" s="638"/>
      <c r="BS163" s="638"/>
      <c r="BT163" s="638"/>
      <c r="BU163" s="638"/>
      <c r="BV163" s="638"/>
      <c r="BW163" s="638"/>
      <c r="BX163" s="638"/>
      <c r="BY163" s="638"/>
      <c r="BZ163" s="638"/>
      <c r="CA163" s="638"/>
      <c r="CB163" s="638"/>
      <c r="CC163" s="638"/>
      <c r="CD163" s="638"/>
      <c r="CE163" s="638"/>
      <c r="CF163" s="638"/>
      <c r="CG163" s="638"/>
      <c r="CH163" s="638"/>
      <c r="CI163" s="638"/>
      <c r="CJ163" s="638"/>
      <c r="CK163" s="638"/>
      <c r="CL163" s="638"/>
      <c r="CM163" s="638"/>
      <c r="CN163" s="638"/>
      <c r="CO163" s="638"/>
      <c r="CP163" s="638"/>
      <c r="CQ163" s="638"/>
      <c r="CR163" s="638"/>
      <c r="CS163" s="638"/>
      <c r="CT163" s="638"/>
    </row>
    <row r="164" spans="1:98" s="424" customFormat="1" outlineLevel="1" x14ac:dyDescent="0.25">
      <c r="A164" s="638"/>
      <c r="B164" s="646"/>
      <c r="C164" s="638"/>
      <c r="D164" s="646"/>
      <c r="E164" s="673">
        <v>11</v>
      </c>
      <c r="F164" s="647"/>
      <c r="G164" s="647"/>
      <c r="H164" s="647"/>
      <c r="I164" s="647"/>
      <c r="J164" s="647"/>
      <c r="K164" s="647"/>
      <c r="L164" s="647"/>
      <c r="M164" s="647"/>
      <c r="N164" s="647"/>
      <c r="O164" s="647"/>
      <c r="P164" s="647"/>
      <c r="Q164" s="647"/>
      <c r="R164" s="647"/>
      <c r="S164" s="647"/>
      <c r="T164" s="647"/>
      <c r="U164" s="647"/>
      <c r="V164" s="647"/>
      <c r="W164" s="647"/>
      <c r="X164" s="647"/>
      <c r="Y164" s="647"/>
      <c r="Z164" s="647"/>
      <c r="AA164" s="638"/>
      <c r="AB164" s="638"/>
      <c r="AC164" s="638"/>
      <c r="AD164" s="638"/>
      <c r="AE164" s="638"/>
      <c r="AF164" s="638"/>
      <c r="AG164" s="638"/>
      <c r="AH164" s="638"/>
      <c r="AI164" s="638"/>
      <c r="AJ164" s="638"/>
      <c r="AK164" s="638"/>
      <c r="AL164" s="638"/>
      <c r="AM164" s="638"/>
      <c r="AN164" s="638"/>
      <c r="AO164" s="638"/>
      <c r="AP164" s="638"/>
      <c r="AQ164" s="638"/>
      <c r="AR164" s="638"/>
      <c r="AS164" s="638"/>
      <c r="AT164" s="638"/>
      <c r="AU164" s="638"/>
      <c r="AV164" s="638"/>
      <c r="AW164" s="638"/>
      <c r="AX164" s="638"/>
      <c r="AY164" s="638"/>
      <c r="AZ164" s="638"/>
      <c r="BA164" s="638"/>
      <c r="BB164" s="638"/>
      <c r="BC164" s="638"/>
      <c r="BD164" s="638"/>
      <c r="BE164" s="638"/>
      <c r="BF164" s="638"/>
      <c r="BG164" s="638"/>
      <c r="BH164" s="638"/>
      <c r="BI164" s="638"/>
      <c r="BJ164" s="638"/>
      <c r="BK164" s="638"/>
      <c r="BL164" s="638"/>
      <c r="BM164" s="638"/>
      <c r="BN164" s="638"/>
      <c r="BO164" s="638"/>
      <c r="BP164" s="638"/>
      <c r="BQ164" s="638"/>
      <c r="BR164" s="638"/>
      <c r="BS164" s="638"/>
      <c r="BT164" s="638"/>
      <c r="BU164" s="638"/>
      <c r="BV164" s="638"/>
      <c r="BW164" s="638"/>
      <c r="BX164" s="638"/>
      <c r="BY164" s="638"/>
      <c r="BZ164" s="638"/>
      <c r="CA164" s="638"/>
      <c r="CB164" s="638"/>
      <c r="CC164" s="638"/>
      <c r="CD164" s="638"/>
      <c r="CE164" s="638"/>
      <c r="CF164" s="638"/>
      <c r="CG164" s="638"/>
      <c r="CH164" s="638"/>
      <c r="CI164" s="638"/>
      <c r="CJ164" s="638"/>
      <c r="CK164" s="638"/>
      <c r="CL164" s="638"/>
      <c r="CM164" s="638"/>
      <c r="CN164" s="638"/>
      <c r="CO164" s="638"/>
      <c r="CP164" s="638"/>
      <c r="CQ164" s="638"/>
      <c r="CR164" s="638"/>
      <c r="CS164" s="638"/>
      <c r="CT164" s="638"/>
    </row>
    <row r="165" spans="1:98" s="424" customFormat="1" outlineLevel="1" x14ac:dyDescent="0.25">
      <c r="A165" s="638"/>
      <c r="B165" s="646"/>
      <c r="C165" s="638"/>
      <c r="D165" s="646"/>
      <c r="E165" s="673">
        <v>12</v>
      </c>
      <c r="F165" s="647"/>
      <c r="G165" s="647"/>
      <c r="H165" s="647"/>
      <c r="I165" s="647"/>
      <c r="J165" s="647"/>
      <c r="K165" s="647"/>
      <c r="L165" s="647"/>
      <c r="M165" s="647"/>
      <c r="N165" s="647"/>
      <c r="O165" s="647"/>
      <c r="P165" s="647"/>
      <c r="Q165" s="647"/>
      <c r="R165" s="647"/>
      <c r="S165" s="647"/>
      <c r="T165" s="647"/>
      <c r="U165" s="647"/>
      <c r="V165" s="647"/>
      <c r="W165" s="647"/>
      <c r="X165" s="647"/>
      <c r="Y165" s="647"/>
      <c r="Z165" s="647"/>
      <c r="AA165" s="638"/>
      <c r="AB165" s="638"/>
      <c r="AC165" s="638"/>
      <c r="AD165" s="638"/>
      <c r="AE165" s="638"/>
      <c r="AF165" s="638"/>
      <c r="AG165" s="638"/>
      <c r="AH165" s="638"/>
      <c r="AI165" s="638"/>
      <c r="AJ165" s="638"/>
      <c r="AK165" s="638"/>
      <c r="AL165" s="638"/>
      <c r="AM165" s="638"/>
      <c r="AN165" s="638"/>
      <c r="AO165" s="638"/>
      <c r="AP165" s="638"/>
      <c r="AQ165" s="638"/>
      <c r="AR165" s="638"/>
      <c r="AS165" s="638"/>
      <c r="AT165" s="638"/>
      <c r="AU165" s="638"/>
      <c r="AV165" s="638"/>
      <c r="AW165" s="638"/>
      <c r="AX165" s="638"/>
      <c r="AY165" s="638"/>
      <c r="AZ165" s="638"/>
      <c r="BA165" s="638"/>
      <c r="BB165" s="638"/>
      <c r="BC165" s="638"/>
      <c r="BD165" s="638"/>
      <c r="BE165" s="638"/>
      <c r="BF165" s="638"/>
      <c r="BG165" s="638"/>
      <c r="BH165" s="638"/>
      <c r="BI165" s="638"/>
      <c r="BJ165" s="638"/>
      <c r="BK165" s="638"/>
      <c r="BL165" s="638"/>
      <c r="BM165" s="638"/>
      <c r="BN165" s="638"/>
      <c r="BO165" s="638"/>
      <c r="BP165" s="638"/>
      <c r="BQ165" s="638"/>
      <c r="BR165" s="638"/>
      <c r="BS165" s="638"/>
      <c r="BT165" s="638"/>
      <c r="BU165" s="638"/>
      <c r="BV165" s="638"/>
      <c r="BW165" s="638"/>
      <c r="BX165" s="638"/>
      <c r="BY165" s="638"/>
      <c r="BZ165" s="638"/>
      <c r="CA165" s="638"/>
      <c r="CB165" s="638"/>
      <c r="CC165" s="638"/>
      <c r="CD165" s="638"/>
      <c r="CE165" s="638"/>
      <c r="CF165" s="638"/>
      <c r="CG165" s="638"/>
      <c r="CH165" s="638"/>
      <c r="CI165" s="638"/>
      <c r="CJ165" s="638"/>
      <c r="CK165" s="638"/>
      <c r="CL165" s="638"/>
      <c r="CM165" s="638"/>
      <c r="CN165" s="638"/>
      <c r="CO165" s="638"/>
      <c r="CP165" s="638"/>
      <c r="CQ165" s="638"/>
      <c r="CR165" s="638"/>
      <c r="CS165" s="638"/>
      <c r="CT165" s="638"/>
    </row>
    <row r="166" spans="1:98" s="424" customFormat="1" outlineLevel="1" x14ac:dyDescent="0.25">
      <c r="A166" s="638"/>
      <c r="B166" s="646"/>
      <c r="C166" s="638"/>
      <c r="D166" s="646"/>
      <c r="E166" s="673">
        <v>13</v>
      </c>
      <c r="F166" s="647"/>
      <c r="G166" s="647"/>
      <c r="H166" s="647"/>
      <c r="I166" s="647"/>
      <c r="J166" s="647"/>
      <c r="K166" s="647"/>
      <c r="L166" s="647"/>
      <c r="M166" s="647"/>
      <c r="N166" s="647"/>
      <c r="O166" s="647"/>
      <c r="P166" s="647"/>
      <c r="Q166" s="647"/>
      <c r="R166" s="647"/>
      <c r="S166" s="647"/>
      <c r="T166" s="647"/>
      <c r="U166" s="647"/>
      <c r="V166" s="647"/>
      <c r="W166" s="647"/>
      <c r="X166" s="647"/>
      <c r="Y166" s="647"/>
      <c r="Z166" s="647"/>
      <c r="AA166" s="638"/>
      <c r="AB166" s="638"/>
      <c r="AC166" s="638"/>
      <c r="AD166" s="638"/>
      <c r="AE166" s="638"/>
      <c r="AF166" s="638"/>
      <c r="AG166" s="638"/>
      <c r="AH166" s="638"/>
      <c r="AI166" s="638"/>
      <c r="AJ166" s="638"/>
      <c r="AK166" s="638"/>
      <c r="AL166" s="638"/>
      <c r="AM166" s="638"/>
      <c r="AN166" s="638"/>
      <c r="AO166" s="638"/>
      <c r="AP166" s="638"/>
      <c r="AQ166" s="638"/>
      <c r="AR166" s="638"/>
      <c r="AS166" s="638"/>
      <c r="AT166" s="638"/>
      <c r="AU166" s="638"/>
      <c r="AV166" s="638"/>
      <c r="AW166" s="638"/>
      <c r="AX166" s="638"/>
      <c r="AY166" s="638"/>
      <c r="AZ166" s="638"/>
      <c r="BA166" s="638"/>
      <c r="BB166" s="638"/>
      <c r="BC166" s="638"/>
      <c r="BD166" s="638"/>
      <c r="BE166" s="638"/>
      <c r="BF166" s="638"/>
      <c r="BG166" s="638"/>
      <c r="BH166" s="638"/>
      <c r="BI166" s="638"/>
      <c r="BJ166" s="638"/>
      <c r="BK166" s="638"/>
      <c r="BL166" s="638"/>
      <c r="BM166" s="638"/>
      <c r="BN166" s="638"/>
      <c r="BO166" s="638"/>
      <c r="BP166" s="638"/>
      <c r="BQ166" s="638"/>
      <c r="BR166" s="638"/>
      <c r="BS166" s="638"/>
      <c r="BT166" s="638"/>
      <c r="BU166" s="638"/>
      <c r="BV166" s="638"/>
      <c r="BW166" s="638"/>
      <c r="BX166" s="638"/>
      <c r="BY166" s="638"/>
      <c r="BZ166" s="638"/>
      <c r="CA166" s="638"/>
      <c r="CB166" s="638"/>
      <c r="CC166" s="638"/>
      <c r="CD166" s="638"/>
      <c r="CE166" s="638"/>
      <c r="CF166" s="638"/>
      <c r="CG166" s="638"/>
      <c r="CH166" s="638"/>
      <c r="CI166" s="638"/>
      <c r="CJ166" s="638"/>
      <c r="CK166" s="638"/>
      <c r="CL166" s="638"/>
      <c r="CM166" s="638"/>
      <c r="CN166" s="638"/>
      <c r="CO166" s="638"/>
      <c r="CP166" s="638"/>
      <c r="CQ166" s="638"/>
      <c r="CR166" s="638"/>
      <c r="CS166" s="638"/>
      <c r="CT166" s="638"/>
    </row>
    <row r="167" spans="1:98" s="424" customFormat="1" outlineLevel="1" x14ac:dyDescent="0.25">
      <c r="A167" s="638"/>
      <c r="B167" s="646"/>
      <c r="C167" s="436"/>
      <c r="D167" s="647"/>
      <c r="E167" s="648"/>
      <c r="F167" s="647"/>
      <c r="G167" s="647"/>
      <c r="H167" s="647"/>
      <c r="I167" s="647"/>
      <c r="J167" s="647"/>
      <c r="K167" s="647"/>
      <c r="L167" s="647"/>
      <c r="M167" s="647"/>
      <c r="N167" s="647"/>
      <c r="O167" s="647"/>
      <c r="P167" s="647"/>
      <c r="Q167" s="647"/>
      <c r="R167" s="647"/>
      <c r="S167" s="647"/>
      <c r="T167" s="647"/>
      <c r="U167" s="647"/>
      <c r="V167" s="647"/>
      <c r="W167" s="647"/>
      <c r="X167" s="647"/>
      <c r="Y167" s="647"/>
      <c r="Z167" s="647"/>
      <c r="AA167" s="638"/>
      <c r="AB167" s="638"/>
      <c r="AC167" s="638"/>
      <c r="AD167" s="638"/>
      <c r="AE167" s="638"/>
      <c r="AF167" s="638"/>
      <c r="AG167" s="638"/>
      <c r="AH167" s="638"/>
      <c r="AI167" s="638"/>
      <c r="AJ167" s="638"/>
      <c r="AK167" s="638"/>
      <c r="AL167" s="638"/>
      <c r="AM167" s="638"/>
      <c r="AN167" s="638"/>
      <c r="AO167" s="638"/>
      <c r="AP167" s="638"/>
      <c r="AQ167" s="638"/>
      <c r="AR167" s="638"/>
      <c r="AS167" s="638"/>
      <c r="AT167" s="638"/>
      <c r="AU167" s="638"/>
      <c r="AV167" s="638"/>
      <c r="AW167" s="638"/>
      <c r="AX167" s="638"/>
      <c r="AY167" s="638"/>
      <c r="AZ167" s="638"/>
      <c r="BA167" s="638"/>
      <c r="BB167" s="638"/>
      <c r="BC167" s="638"/>
      <c r="BD167" s="638"/>
      <c r="BE167" s="638"/>
      <c r="BF167" s="638"/>
      <c r="BG167" s="638"/>
      <c r="BH167" s="638"/>
      <c r="BI167" s="638"/>
      <c r="BJ167" s="638"/>
      <c r="BK167" s="638"/>
      <c r="BL167" s="638"/>
      <c r="BM167" s="638"/>
      <c r="BN167" s="638"/>
      <c r="BO167" s="638"/>
      <c r="BP167" s="638"/>
      <c r="BQ167" s="638"/>
      <c r="BR167" s="638"/>
      <c r="BS167" s="638"/>
      <c r="BT167" s="638"/>
      <c r="BU167" s="638"/>
      <c r="BV167" s="638"/>
      <c r="BW167" s="638"/>
      <c r="BX167" s="638"/>
      <c r="BY167" s="638"/>
      <c r="BZ167" s="638"/>
      <c r="CA167" s="638"/>
      <c r="CB167" s="638"/>
      <c r="CC167" s="638"/>
      <c r="CD167" s="638"/>
      <c r="CE167" s="638"/>
      <c r="CF167" s="638"/>
      <c r="CG167" s="638"/>
      <c r="CH167" s="638"/>
      <c r="CI167" s="638"/>
      <c r="CJ167" s="638"/>
      <c r="CK167" s="638"/>
      <c r="CL167" s="638"/>
      <c r="CM167" s="638"/>
      <c r="CN167" s="638"/>
      <c r="CO167" s="638"/>
      <c r="CP167" s="638"/>
      <c r="CQ167" s="638"/>
      <c r="CR167" s="638"/>
      <c r="CS167" s="638"/>
      <c r="CT167" s="638"/>
    </row>
    <row r="168" spans="1:98" s="221" customFormat="1" outlineLevel="1" x14ac:dyDescent="0.25">
      <c r="C168" s="460" t="s">
        <v>79</v>
      </c>
      <c r="D168" s="223"/>
      <c r="E168" s="224">
        <f>E86</f>
        <v>2024</v>
      </c>
      <c r="F168" s="224">
        <f>E168+1</f>
        <v>2025</v>
      </c>
      <c r="G168" s="224">
        <f t="shared" ref="G168:K168" si="18">F168+1</f>
        <v>2026</v>
      </c>
      <c r="H168" s="224">
        <f t="shared" si="18"/>
        <v>2027</v>
      </c>
      <c r="I168" s="224">
        <f t="shared" si="18"/>
        <v>2028</v>
      </c>
      <c r="J168" s="224">
        <f t="shared" si="18"/>
        <v>2029</v>
      </c>
      <c r="K168" s="224">
        <f t="shared" si="18"/>
        <v>2030</v>
      </c>
      <c r="L168" s="224">
        <f t="shared" ref="L168" si="19">K168+1</f>
        <v>2031</v>
      </c>
      <c r="M168" s="224">
        <f t="shared" ref="M168" si="20">L168+1</f>
        <v>2032</v>
      </c>
      <c r="N168" s="224">
        <f t="shared" ref="N168" si="21">M168+1</f>
        <v>2033</v>
      </c>
      <c r="O168" s="224">
        <f t="shared" ref="O168" si="22">N168+1</f>
        <v>2034</v>
      </c>
      <c r="P168" s="228"/>
      <c r="Q168" s="228"/>
      <c r="R168" s="228"/>
      <c r="S168" s="228"/>
      <c r="T168" s="228"/>
      <c r="U168" s="228"/>
      <c r="V168" s="228"/>
      <c r="W168" s="228"/>
      <c r="X168" s="228"/>
      <c r="Y168" s="228"/>
      <c r="Z168" s="228"/>
      <c r="AA168" s="227"/>
      <c r="AB168" s="227"/>
      <c r="AC168" s="227"/>
      <c r="AD168" s="227"/>
      <c r="AE168" s="227"/>
      <c r="AF168" s="227"/>
      <c r="AG168" s="227"/>
      <c r="AH168" s="227"/>
      <c r="AI168" s="227"/>
      <c r="AJ168" s="227"/>
      <c r="AK168" s="227"/>
      <c r="AL168" s="227"/>
      <c r="AM168" s="227"/>
      <c r="AN168" s="227"/>
      <c r="AO168" s="227"/>
      <c r="AP168" s="227"/>
      <c r="AQ168" s="227"/>
      <c r="AR168" s="227"/>
      <c r="AS168" s="227"/>
      <c r="AT168" s="227"/>
      <c r="AU168" s="227"/>
      <c r="AV168" s="227"/>
      <c r="AW168" s="227"/>
      <c r="AX168" s="227"/>
      <c r="AY168" s="227"/>
      <c r="AZ168" s="227"/>
      <c r="BA168" s="227"/>
      <c r="BB168" s="227"/>
      <c r="BC168" s="227"/>
      <c r="BD168" s="227"/>
      <c r="BE168" s="227"/>
      <c r="BF168" s="227"/>
      <c r="BG168" s="227"/>
      <c r="BH168" s="227"/>
      <c r="BI168" s="227"/>
      <c r="BJ168" s="227"/>
      <c r="BK168" s="227"/>
      <c r="BL168" s="227"/>
      <c r="BM168" s="227"/>
      <c r="BN168" s="227"/>
      <c r="BO168" s="227"/>
      <c r="BP168" s="227"/>
      <c r="BQ168" s="227"/>
      <c r="BR168" s="227"/>
      <c r="BS168" s="227"/>
      <c r="BT168" s="227"/>
      <c r="BU168" s="227"/>
      <c r="BV168" s="227"/>
      <c r="BW168" s="227"/>
      <c r="BX168" s="227"/>
      <c r="BY168" s="227"/>
      <c r="BZ168" s="227"/>
      <c r="CA168" s="227"/>
      <c r="CB168" s="227"/>
      <c r="CC168" s="227"/>
      <c r="CD168" s="227"/>
      <c r="CE168" s="227"/>
      <c r="CF168" s="227"/>
      <c r="CG168" s="227"/>
      <c r="CH168" s="227"/>
      <c r="CI168" s="227"/>
      <c r="CJ168" s="227"/>
      <c r="CK168" s="227"/>
      <c r="CL168" s="227"/>
      <c r="CM168" s="227"/>
      <c r="CN168" s="227"/>
      <c r="CO168" s="227"/>
      <c r="CP168" s="227"/>
      <c r="CQ168" s="227"/>
      <c r="CR168" s="227"/>
      <c r="CS168" s="227"/>
    </row>
    <row r="169" spans="1:98" s="424" customFormat="1" outlineLevel="1" x14ac:dyDescent="0.25">
      <c r="A169" s="638"/>
      <c r="B169" s="646"/>
      <c r="C169" s="638" t="s">
        <v>80</v>
      </c>
      <c r="D169" s="647" t="s">
        <v>12</v>
      </c>
      <c r="E169" s="648">
        <v>0.05</v>
      </c>
      <c r="F169" s="648">
        <v>0.05</v>
      </c>
      <c r="G169" s="648">
        <v>0.05</v>
      </c>
      <c r="H169" s="648">
        <v>0.05</v>
      </c>
      <c r="I169" s="648">
        <v>0.05</v>
      </c>
      <c r="J169" s="648">
        <v>0.05</v>
      </c>
      <c r="K169" s="648">
        <v>0.05</v>
      </c>
      <c r="L169" s="648">
        <v>0.05</v>
      </c>
      <c r="M169" s="648">
        <v>0.05</v>
      </c>
      <c r="N169" s="648">
        <v>0.05</v>
      </c>
      <c r="O169" s="648">
        <v>0.05</v>
      </c>
      <c r="P169" s="647"/>
      <c r="Q169" s="647"/>
      <c r="R169" s="647"/>
      <c r="S169" s="647"/>
      <c r="T169" s="647"/>
      <c r="U169" s="647"/>
      <c r="V169" s="647"/>
      <c r="W169" s="647"/>
      <c r="X169" s="647"/>
      <c r="Y169" s="647"/>
      <c r="Z169" s="647"/>
      <c r="AA169" s="638"/>
      <c r="AB169" s="638"/>
      <c r="AC169" s="638"/>
      <c r="AD169" s="638"/>
      <c r="AE169" s="638"/>
      <c r="AF169" s="638"/>
      <c r="AG169" s="638"/>
      <c r="AH169" s="638"/>
      <c r="AI169" s="638"/>
      <c r="AJ169" s="638"/>
      <c r="AK169" s="638"/>
      <c r="AL169" s="638"/>
      <c r="AM169" s="638"/>
      <c r="AN169" s="638"/>
      <c r="AO169" s="638"/>
      <c r="AP169" s="638"/>
      <c r="AQ169" s="638"/>
      <c r="AR169" s="638"/>
      <c r="AS169" s="638"/>
      <c r="AT169" s="638"/>
      <c r="AU169" s="638"/>
      <c r="AV169" s="638"/>
      <c r="AW169" s="638"/>
      <c r="AX169" s="638"/>
      <c r="AY169" s="638"/>
      <c r="AZ169" s="638"/>
      <c r="BA169" s="638"/>
      <c r="BB169" s="638"/>
      <c r="BC169" s="638"/>
      <c r="BD169" s="638"/>
      <c r="BE169" s="638"/>
      <c r="BF169" s="638"/>
      <c r="BG169" s="638"/>
      <c r="BH169" s="638"/>
      <c r="BI169" s="638"/>
      <c r="BJ169" s="638"/>
      <c r="BK169" s="638"/>
      <c r="BL169" s="638"/>
      <c r="BM169" s="638"/>
      <c r="BN169" s="638"/>
      <c r="BO169" s="638"/>
      <c r="BP169" s="638"/>
      <c r="BQ169" s="638"/>
      <c r="BR169" s="638"/>
      <c r="BS169" s="638"/>
      <c r="BT169" s="638"/>
      <c r="BU169" s="638"/>
      <c r="BV169" s="638"/>
      <c r="BW169" s="638"/>
      <c r="BX169" s="638"/>
      <c r="BY169" s="638"/>
      <c r="BZ169" s="638"/>
      <c r="CA169" s="638"/>
      <c r="CB169" s="638"/>
      <c r="CC169" s="638"/>
      <c r="CD169" s="638"/>
      <c r="CE169" s="638"/>
      <c r="CF169" s="638"/>
      <c r="CG169" s="638"/>
      <c r="CH169" s="638"/>
      <c r="CI169" s="638"/>
      <c r="CJ169" s="638"/>
      <c r="CK169" s="638"/>
      <c r="CL169" s="638"/>
      <c r="CM169" s="638"/>
      <c r="CN169" s="638"/>
      <c r="CO169" s="638"/>
      <c r="CP169" s="638"/>
      <c r="CQ169" s="638"/>
      <c r="CR169" s="638"/>
      <c r="CS169" s="638"/>
      <c r="CT169" s="638"/>
    </row>
    <row r="170" spans="1:98" s="424" customFormat="1" outlineLevel="1" x14ac:dyDescent="0.25">
      <c r="A170" s="638"/>
      <c r="B170" s="646"/>
      <c r="C170" s="638" t="s">
        <v>81</v>
      </c>
      <c r="D170" s="647"/>
      <c r="E170" s="648">
        <v>0</v>
      </c>
      <c r="F170" s="647"/>
      <c r="G170" s="647"/>
      <c r="H170" s="647"/>
      <c r="I170" s="647"/>
      <c r="J170" s="647"/>
      <c r="K170" s="647"/>
      <c r="L170" s="647"/>
      <c r="M170" s="647"/>
      <c r="N170" s="647"/>
      <c r="O170" s="647"/>
      <c r="P170" s="647"/>
      <c r="Q170" s="647"/>
      <c r="R170" s="647"/>
      <c r="S170" s="647"/>
      <c r="T170" s="647"/>
      <c r="U170" s="647"/>
      <c r="V170" s="647"/>
      <c r="W170" s="647"/>
      <c r="X170" s="647"/>
      <c r="Y170" s="647"/>
      <c r="Z170" s="647"/>
      <c r="AA170" s="638"/>
      <c r="AB170" s="638"/>
      <c r="AC170" s="638"/>
      <c r="AD170" s="638"/>
      <c r="AE170" s="638"/>
      <c r="AF170" s="638"/>
      <c r="AG170" s="638"/>
      <c r="AH170" s="638"/>
      <c r="AI170" s="638"/>
      <c r="AJ170" s="638"/>
      <c r="AK170" s="638"/>
      <c r="AL170" s="638"/>
      <c r="AM170" s="638"/>
      <c r="AN170" s="638"/>
      <c r="AO170" s="638"/>
      <c r="AP170" s="638"/>
      <c r="AQ170" s="638"/>
      <c r="AR170" s="638"/>
      <c r="AS170" s="638"/>
      <c r="AT170" s="638"/>
      <c r="AU170" s="638"/>
      <c r="AV170" s="638"/>
      <c r="AW170" s="638"/>
      <c r="AX170" s="638"/>
      <c r="AY170" s="638"/>
      <c r="AZ170" s="638"/>
      <c r="BA170" s="638"/>
      <c r="BB170" s="638"/>
      <c r="BC170" s="638"/>
      <c r="BD170" s="638"/>
      <c r="BE170" s="638"/>
      <c r="BF170" s="638"/>
      <c r="BG170" s="638"/>
      <c r="BH170" s="638"/>
      <c r="BI170" s="638"/>
      <c r="BJ170" s="638"/>
      <c r="BK170" s="638"/>
      <c r="BL170" s="638"/>
      <c r="BM170" s="638"/>
      <c r="BN170" s="638"/>
      <c r="BO170" s="638"/>
      <c r="BP170" s="638"/>
      <c r="BQ170" s="638"/>
      <c r="BR170" s="638"/>
      <c r="BS170" s="638"/>
      <c r="BT170" s="638"/>
      <c r="BU170" s="638"/>
      <c r="BV170" s="638"/>
      <c r="BW170" s="638"/>
      <c r="BX170" s="638"/>
      <c r="BY170" s="638"/>
      <c r="BZ170" s="638"/>
      <c r="CA170" s="638"/>
      <c r="CB170" s="638"/>
      <c r="CC170" s="638"/>
      <c r="CD170" s="638"/>
      <c r="CE170" s="638"/>
      <c r="CF170" s="638"/>
      <c r="CG170" s="638"/>
      <c r="CH170" s="638"/>
      <c r="CI170" s="638"/>
      <c r="CJ170" s="638"/>
      <c r="CK170" s="638"/>
      <c r="CL170" s="638"/>
      <c r="CM170" s="638"/>
      <c r="CN170" s="638"/>
      <c r="CO170" s="638"/>
      <c r="CP170" s="638"/>
      <c r="CQ170" s="638"/>
      <c r="CR170" s="638"/>
      <c r="CS170" s="638"/>
      <c r="CT170" s="638"/>
    </row>
    <row r="171" spans="1:98" s="424" customFormat="1" outlineLevel="1" x14ac:dyDescent="0.25">
      <c r="A171" s="638"/>
      <c r="B171" s="646"/>
      <c r="C171" s="638" t="s">
        <v>82</v>
      </c>
      <c r="D171" s="647" t="s">
        <v>12</v>
      </c>
      <c r="E171" s="648">
        <v>0.1</v>
      </c>
      <c r="F171" s="648">
        <v>0.1</v>
      </c>
      <c r="G171" s="648">
        <v>0.1</v>
      </c>
      <c r="H171" s="648">
        <v>0.1</v>
      </c>
      <c r="I171" s="648">
        <v>0.1</v>
      </c>
      <c r="J171" s="648">
        <v>0.1</v>
      </c>
      <c r="K171" s="648">
        <v>0.1</v>
      </c>
      <c r="L171" s="648">
        <v>0.1</v>
      </c>
      <c r="M171" s="648">
        <v>0.1</v>
      </c>
      <c r="N171" s="648">
        <v>0.1</v>
      </c>
      <c r="O171" s="648">
        <v>0.1</v>
      </c>
      <c r="P171" s="647"/>
      <c r="Q171" s="647"/>
      <c r="R171" s="647"/>
      <c r="S171" s="647"/>
      <c r="T171" s="647"/>
      <c r="U171" s="647"/>
      <c r="V171" s="647"/>
      <c r="W171" s="647"/>
      <c r="X171" s="647"/>
      <c r="Y171" s="647"/>
      <c r="Z171" s="647"/>
      <c r="AA171" s="638"/>
      <c r="AB171" s="638"/>
      <c r="AC171" s="638"/>
      <c r="AD171" s="638"/>
      <c r="AE171" s="638"/>
      <c r="AF171" s="638"/>
      <c r="AG171" s="638"/>
      <c r="AH171" s="638"/>
      <c r="AI171" s="638"/>
      <c r="AJ171" s="638"/>
      <c r="AK171" s="638"/>
      <c r="AL171" s="638"/>
      <c r="AM171" s="638"/>
      <c r="AN171" s="638"/>
      <c r="AO171" s="638"/>
      <c r="AP171" s="638"/>
      <c r="AQ171" s="638"/>
      <c r="AR171" s="638"/>
      <c r="AS171" s="638"/>
      <c r="AT171" s="638"/>
      <c r="AU171" s="638"/>
      <c r="AV171" s="638"/>
      <c r="AW171" s="638"/>
      <c r="AX171" s="638"/>
      <c r="AY171" s="638"/>
      <c r="AZ171" s="638"/>
      <c r="BA171" s="638"/>
      <c r="BB171" s="638"/>
      <c r="BC171" s="638"/>
      <c r="BD171" s="638"/>
      <c r="BE171" s="638"/>
      <c r="BF171" s="638"/>
      <c r="BG171" s="638"/>
      <c r="BH171" s="638"/>
      <c r="BI171" s="638"/>
      <c r="BJ171" s="638"/>
      <c r="BK171" s="638"/>
      <c r="BL171" s="638"/>
      <c r="BM171" s="638"/>
      <c r="BN171" s="638"/>
      <c r="BO171" s="638"/>
      <c r="BP171" s="638"/>
      <c r="BQ171" s="638"/>
      <c r="BR171" s="638"/>
      <c r="BS171" s="638"/>
      <c r="BT171" s="638"/>
      <c r="BU171" s="638"/>
      <c r="BV171" s="638"/>
      <c r="BW171" s="638"/>
      <c r="BX171" s="638"/>
      <c r="BY171" s="638"/>
      <c r="BZ171" s="638"/>
      <c r="CA171" s="638"/>
      <c r="CB171" s="638"/>
      <c r="CC171" s="638"/>
      <c r="CD171" s="638"/>
      <c r="CE171" s="638"/>
      <c r="CF171" s="638"/>
      <c r="CG171" s="638"/>
      <c r="CH171" s="638"/>
      <c r="CI171" s="638"/>
      <c r="CJ171" s="638"/>
      <c r="CK171" s="638"/>
      <c r="CL171" s="638"/>
      <c r="CM171" s="638"/>
      <c r="CN171" s="638"/>
      <c r="CO171" s="638"/>
      <c r="CP171" s="638"/>
      <c r="CQ171" s="638"/>
      <c r="CR171" s="638"/>
      <c r="CS171" s="638"/>
      <c r="CT171" s="638"/>
    </row>
    <row r="172" spans="1:98" s="424" customFormat="1" outlineLevel="1" x14ac:dyDescent="0.25">
      <c r="A172" s="638"/>
      <c r="B172" s="646"/>
      <c r="C172" s="638" t="s">
        <v>83</v>
      </c>
      <c r="D172" s="647" t="s">
        <v>12</v>
      </c>
      <c r="E172" s="648">
        <v>0.8</v>
      </c>
      <c r="F172" s="648">
        <v>0.5</v>
      </c>
      <c r="G172" s="648">
        <v>0.2</v>
      </c>
      <c r="H172" s="647"/>
      <c r="I172" s="647"/>
      <c r="J172" s="647"/>
      <c r="K172" s="647"/>
      <c r="L172" s="647"/>
      <c r="M172" s="647"/>
      <c r="N172" s="647"/>
      <c r="O172" s="647"/>
      <c r="P172" s="647"/>
      <c r="Q172" s="647"/>
      <c r="R172" s="647"/>
      <c r="S172" s="647"/>
      <c r="T172" s="647"/>
      <c r="U172" s="647"/>
      <c r="V172" s="647"/>
      <c r="W172" s="647"/>
      <c r="X172" s="647"/>
      <c r="Y172" s="647"/>
      <c r="Z172" s="647"/>
      <c r="AA172" s="638"/>
      <c r="AB172" s="638"/>
      <c r="AC172" s="638"/>
      <c r="AD172" s="638"/>
      <c r="AE172" s="638"/>
      <c r="AF172" s="638"/>
      <c r="AG172" s="638"/>
      <c r="AH172" s="638"/>
      <c r="AI172" s="638"/>
      <c r="AJ172" s="638"/>
      <c r="AK172" s="638"/>
      <c r="AL172" s="638"/>
      <c r="AM172" s="638"/>
      <c r="AN172" s="638"/>
      <c r="AO172" s="638"/>
      <c r="AP172" s="638"/>
      <c r="AQ172" s="638"/>
      <c r="AR172" s="638"/>
      <c r="AS172" s="638"/>
      <c r="AT172" s="638"/>
      <c r="AU172" s="638"/>
      <c r="AV172" s="638"/>
      <c r="AW172" s="638"/>
      <c r="AX172" s="638"/>
      <c r="AY172" s="638"/>
      <c r="AZ172" s="638"/>
      <c r="BA172" s="638"/>
      <c r="BB172" s="638"/>
      <c r="BC172" s="638"/>
      <c r="BD172" s="638"/>
      <c r="BE172" s="638"/>
      <c r="BF172" s="638"/>
      <c r="BG172" s="638"/>
      <c r="BH172" s="638"/>
      <c r="BI172" s="638"/>
      <c r="BJ172" s="638"/>
      <c r="BK172" s="638"/>
      <c r="BL172" s="638"/>
      <c r="BM172" s="638"/>
      <c r="BN172" s="638"/>
      <c r="BO172" s="638"/>
      <c r="BP172" s="638"/>
      <c r="BQ172" s="638"/>
      <c r="BR172" s="638"/>
      <c r="BS172" s="638"/>
      <c r="BT172" s="638"/>
      <c r="BU172" s="638"/>
      <c r="BV172" s="638"/>
      <c r="BW172" s="638"/>
      <c r="BX172" s="638"/>
      <c r="BY172" s="638"/>
      <c r="BZ172" s="638"/>
      <c r="CA172" s="638"/>
      <c r="CB172" s="638"/>
      <c r="CC172" s="638"/>
      <c r="CD172" s="638"/>
      <c r="CE172" s="638"/>
      <c r="CF172" s="638"/>
      <c r="CG172" s="638"/>
      <c r="CH172" s="638"/>
      <c r="CI172" s="638"/>
      <c r="CJ172" s="638"/>
      <c r="CK172" s="638"/>
      <c r="CL172" s="638"/>
      <c r="CM172" s="638"/>
      <c r="CN172" s="638"/>
      <c r="CO172" s="638"/>
      <c r="CP172" s="638"/>
      <c r="CQ172" s="638"/>
      <c r="CR172" s="638"/>
      <c r="CS172" s="638"/>
      <c r="CT172" s="638"/>
    </row>
    <row r="173" spans="1:98" s="424" customFormat="1" outlineLevel="1" x14ac:dyDescent="0.25">
      <c r="A173" s="638"/>
      <c r="B173" s="646"/>
      <c r="C173" s="436"/>
      <c r="D173" s="647"/>
      <c r="E173" s="674"/>
      <c r="F173" s="647"/>
      <c r="G173" s="647"/>
      <c r="H173" s="647"/>
      <c r="I173" s="647"/>
      <c r="J173" s="647"/>
      <c r="K173" s="647"/>
      <c r="L173" s="647"/>
      <c r="M173" s="647"/>
      <c r="N173" s="647"/>
      <c r="O173" s="647"/>
      <c r="P173" s="647"/>
      <c r="Q173" s="647"/>
      <c r="R173" s="647"/>
      <c r="S173" s="647"/>
      <c r="T173" s="647"/>
      <c r="U173" s="647"/>
      <c r="V173" s="647"/>
      <c r="W173" s="647"/>
      <c r="X173" s="647"/>
      <c r="Y173" s="647"/>
      <c r="Z173" s="647"/>
      <c r="AA173" s="638"/>
      <c r="AB173" s="638"/>
      <c r="AC173" s="638"/>
      <c r="AD173" s="638"/>
      <c r="AE173" s="638"/>
      <c r="AF173" s="638"/>
      <c r="AG173" s="638"/>
      <c r="AH173" s="638"/>
      <c r="AI173" s="638"/>
      <c r="AJ173" s="638"/>
      <c r="AK173" s="638"/>
      <c r="AL173" s="638"/>
      <c r="AM173" s="638"/>
      <c r="AN173" s="638"/>
      <c r="AO173" s="638"/>
      <c r="AP173" s="638"/>
      <c r="AQ173" s="638"/>
      <c r="AR173" s="638"/>
      <c r="AS173" s="638"/>
      <c r="AT173" s="638"/>
      <c r="AU173" s="638"/>
      <c r="AV173" s="638"/>
      <c r="AW173" s="638"/>
      <c r="AX173" s="638"/>
      <c r="AY173" s="638"/>
      <c r="AZ173" s="638"/>
      <c r="BA173" s="638"/>
      <c r="BB173" s="638"/>
      <c r="BC173" s="638"/>
      <c r="BD173" s="638"/>
      <c r="BE173" s="638"/>
      <c r="BF173" s="638"/>
      <c r="BG173" s="638"/>
      <c r="BH173" s="638"/>
      <c r="BI173" s="638"/>
      <c r="BJ173" s="638"/>
      <c r="BK173" s="638"/>
      <c r="BL173" s="638"/>
      <c r="BM173" s="638"/>
      <c r="BN173" s="638"/>
      <c r="BO173" s="638"/>
      <c r="BP173" s="638"/>
      <c r="BQ173" s="638"/>
      <c r="BR173" s="638"/>
      <c r="BS173" s="638"/>
      <c r="BT173" s="638"/>
      <c r="BU173" s="638"/>
      <c r="BV173" s="638"/>
      <c r="BW173" s="638"/>
      <c r="BX173" s="638"/>
      <c r="BY173" s="638"/>
      <c r="BZ173" s="638"/>
      <c r="CA173" s="638"/>
      <c r="CB173" s="638"/>
      <c r="CC173" s="638"/>
      <c r="CD173" s="638"/>
      <c r="CE173" s="638"/>
      <c r="CF173" s="638"/>
      <c r="CG173" s="638"/>
      <c r="CH173" s="638"/>
      <c r="CI173" s="638"/>
      <c r="CJ173" s="638"/>
      <c r="CK173" s="638"/>
      <c r="CL173" s="638"/>
      <c r="CM173" s="638"/>
      <c r="CN173" s="638"/>
      <c r="CO173" s="638"/>
      <c r="CP173" s="638"/>
      <c r="CQ173" s="638"/>
      <c r="CR173" s="638"/>
      <c r="CS173" s="638"/>
      <c r="CT173" s="638"/>
    </row>
    <row r="174" spans="1:98" s="424" customFormat="1" outlineLevel="1" x14ac:dyDescent="0.25">
      <c r="A174" s="638"/>
      <c r="B174" s="646"/>
      <c r="C174" s="436"/>
      <c r="D174" s="647"/>
      <c r="E174" s="674"/>
      <c r="F174" s="647"/>
      <c r="G174" s="647"/>
      <c r="H174" s="647"/>
      <c r="I174" s="647"/>
      <c r="J174" s="647"/>
      <c r="K174" s="647"/>
      <c r="L174" s="647"/>
      <c r="M174" s="647"/>
      <c r="N174" s="647"/>
      <c r="O174" s="647"/>
      <c r="P174" s="647"/>
      <c r="Q174" s="647"/>
      <c r="R174" s="647"/>
      <c r="S174" s="647"/>
      <c r="T174" s="647"/>
      <c r="U174" s="647"/>
      <c r="V174" s="647"/>
      <c r="W174" s="647"/>
      <c r="X174" s="647"/>
      <c r="Y174" s="647"/>
      <c r="Z174" s="647"/>
      <c r="AA174" s="638"/>
      <c r="AB174" s="638"/>
      <c r="AC174" s="638"/>
      <c r="AD174" s="638"/>
      <c r="AE174" s="638"/>
      <c r="AF174" s="638"/>
      <c r="AG174" s="638"/>
      <c r="AH174" s="638"/>
      <c r="AI174" s="638"/>
      <c r="AJ174" s="638"/>
      <c r="AK174" s="638"/>
      <c r="AL174" s="638"/>
      <c r="AM174" s="638"/>
      <c r="AN174" s="638"/>
      <c r="AO174" s="638"/>
      <c r="AP174" s="638"/>
      <c r="AQ174" s="638"/>
      <c r="AR174" s="638"/>
      <c r="AS174" s="638"/>
      <c r="AT174" s="638"/>
      <c r="AU174" s="638"/>
      <c r="AV174" s="638"/>
      <c r="AW174" s="638"/>
      <c r="AX174" s="638"/>
      <c r="AY174" s="638"/>
      <c r="AZ174" s="638"/>
      <c r="BA174" s="638"/>
      <c r="BB174" s="638"/>
      <c r="BC174" s="638"/>
      <c r="BD174" s="638"/>
      <c r="BE174" s="638"/>
      <c r="BF174" s="638"/>
      <c r="BG174" s="638"/>
      <c r="BH174" s="638"/>
      <c r="BI174" s="638"/>
      <c r="BJ174" s="638"/>
      <c r="BK174" s="638"/>
      <c r="BL174" s="638"/>
      <c r="BM174" s="638"/>
      <c r="BN174" s="638"/>
      <c r="BO174" s="638"/>
      <c r="BP174" s="638"/>
      <c r="BQ174" s="638"/>
      <c r="BR174" s="638"/>
      <c r="BS174" s="638"/>
      <c r="BT174" s="638"/>
      <c r="BU174" s="638"/>
      <c r="BV174" s="638"/>
      <c r="BW174" s="638"/>
      <c r="BX174" s="638"/>
      <c r="BY174" s="638"/>
      <c r="BZ174" s="638"/>
      <c r="CA174" s="638"/>
      <c r="CB174" s="638"/>
      <c r="CC174" s="638"/>
      <c r="CD174" s="638"/>
      <c r="CE174" s="638"/>
      <c r="CF174" s="638"/>
      <c r="CG174" s="638"/>
      <c r="CH174" s="638"/>
      <c r="CI174" s="638"/>
      <c r="CJ174" s="638"/>
      <c r="CK174" s="638"/>
      <c r="CL174" s="638"/>
      <c r="CM174" s="638"/>
      <c r="CN174" s="638"/>
      <c r="CO174" s="638"/>
      <c r="CP174" s="638"/>
      <c r="CQ174" s="638"/>
      <c r="CR174" s="638"/>
      <c r="CS174" s="638"/>
      <c r="CT174" s="638"/>
    </row>
    <row r="175" spans="1:98" s="432" customFormat="1" outlineLevel="1" x14ac:dyDescent="0.25">
      <c r="A175" s="675"/>
      <c r="B175" s="675"/>
      <c r="C175" s="221" t="s">
        <v>84</v>
      </c>
      <c r="D175" s="676"/>
      <c r="E175" s="677"/>
      <c r="F175" s="677"/>
      <c r="G175" s="677"/>
      <c r="H175" s="675"/>
      <c r="I175" s="675"/>
      <c r="J175" s="675"/>
      <c r="K175" s="675"/>
      <c r="L175" s="675"/>
      <c r="M175" s="675"/>
      <c r="N175" s="675"/>
      <c r="O175" s="675"/>
      <c r="P175" s="675"/>
      <c r="Q175" s="638"/>
      <c r="R175" s="638"/>
      <c r="S175" s="638"/>
      <c r="T175" s="638"/>
      <c r="U175" s="638"/>
      <c r="V175" s="638"/>
      <c r="W175" s="638"/>
      <c r="X175" s="638"/>
      <c r="Y175" s="638"/>
      <c r="Z175" s="638"/>
      <c r="AA175" s="638"/>
      <c r="AB175" s="638"/>
      <c r="AC175" s="638"/>
      <c r="AD175" s="638"/>
      <c r="AE175" s="638"/>
      <c r="AF175" s="638"/>
      <c r="AG175" s="638"/>
      <c r="AH175" s="638"/>
      <c r="AI175" s="638"/>
      <c r="AJ175" s="638"/>
      <c r="AK175" s="638"/>
      <c r="AL175" s="638"/>
      <c r="AM175" s="638"/>
      <c r="AN175" s="638"/>
      <c r="AO175" s="638"/>
      <c r="AP175" s="638"/>
      <c r="AQ175" s="638"/>
      <c r="AR175" s="638"/>
      <c r="AS175" s="638"/>
      <c r="AT175" s="638"/>
      <c r="AU175" s="638"/>
      <c r="AV175" s="638"/>
      <c r="AW175" s="638"/>
      <c r="AX175" s="638"/>
      <c r="AY175" s="638"/>
      <c r="AZ175" s="638"/>
      <c r="BA175" s="638"/>
      <c r="BB175" s="638"/>
      <c r="BC175" s="638"/>
      <c r="BD175" s="638"/>
      <c r="BE175" s="638"/>
      <c r="BF175" s="638"/>
      <c r="BG175" s="638"/>
      <c r="BH175" s="638"/>
      <c r="BI175" s="638"/>
      <c r="BJ175" s="638"/>
      <c r="BK175" s="638"/>
      <c r="BL175" s="638"/>
      <c r="BM175" s="638"/>
      <c r="BN175" s="638"/>
      <c r="BO175" s="638"/>
      <c r="BP175" s="638"/>
      <c r="BQ175" s="638"/>
      <c r="BR175" s="638"/>
      <c r="BS175" s="638"/>
      <c r="BT175" s="638"/>
      <c r="BU175" s="638"/>
      <c r="BV175" s="638"/>
      <c r="BW175" s="638"/>
      <c r="BX175" s="638"/>
      <c r="BY175" s="638"/>
      <c r="BZ175" s="638"/>
      <c r="CA175" s="638"/>
      <c r="CB175" s="638"/>
      <c r="CC175" s="638"/>
      <c r="CD175" s="638"/>
      <c r="CE175" s="638"/>
      <c r="CF175" s="638"/>
      <c r="CG175" s="638"/>
      <c r="CH175" s="638"/>
      <c r="CI175" s="638"/>
      <c r="CJ175" s="638"/>
      <c r="CK175" s="638"/>
      <c r="CL175" s="638"/>
      <c r="CM175" s="638"/>
      <c r="CN175" s="638"/>
      <c r="CO175" s="638"/>
      <c r="CP175" s="638"/>
      <c r="CQ175" s="638"/>
      <c r="CR175" s="638"/>
      <c r="CS175" s="638"/>
      <c r="CT175" s="638"/>
    </row>
    <row r="176" spans="1:98" s="424" customFormat="1" outlineLevel="1" x14ac:dyDescent="0.25">
      <c r="A176" s="638"/>
      <c r="B176" s="646"/>
      <c r="C176" s="638"/>
      <c r="D176" s="647"/>
      <c r="E176" s="647"/>
      <c r="F176" s="638"/>
      <c r="G176" s="638"/>
      <c r="H176" s="638"/>
      <c r="I176" s="638"/>
      <c r="J176" s="638"/>
      <c r="K176" s="638"/>
      <c r="L176" s="638"/>
      <c r="M176" s="638"/>
      <c r="N176" s="638"/>
      <c r="O176" s="638"/>
      <c r="P176" s="638"/>
      <c r="Q176" s="638"/>
      <c r="R176" s="638"/>
      <c r="S176" s="638"/>
      <c r="T176" s="638"/>
      <c r="U176" s="638"/>
      <c r="V176" s="638"/>
      <c r="W176" s="638"/>
      <c r="X176" s="638"/>
      <c r="Y176" s="638"/>
      <c r="Z176" s="638"/>
      <c r="AA176" s="638"/>
      <c r="AB176" s="638"/>
      <c r="AC176" s="638"/>
      <c r="AD176" s="638"/>
      <c r="AE176" s="638"/>
      <c r="AF176" s="638"/>
      <c r="AG176" s="638"/>
      <c r="AH176" s="638"/>
      <c r="AI176" s="638"/>
      <c r="AJ176" s="638"/>
      <c r="AK176" s="638"/>
      <c r="AL176" s="638"/>
      <c r="AM176" s="638"/>
      <c r="AN176" s="638"/>
      <c r="AO176" s="638"/>
      <c r="AP176" s="638"/>
      <c r="AQ176" s="638"/>
      <c r="AR176" s="638"/>
      <c r="AS176" s="638"/>
      <c r="AT176" s="638"/>
      <c r="AU176" s="638"/>
      <c r="AV176" s="638"/>
      <c r="AW176" s="638"/>
      <c r="AX176" s="638"/>
      <c r="AY176" s="638"/>
      <c r="AZ176" s="638"/>
      <c r="BA176" s="638"/>
      <c r="BB176" s="638"/>
      <c r="BC176" s="638"/>
      <c r="BD176" s="638"/>
      <c r="BE176" s="638"/>
      <c r="BF176" s="638"/>
      <c r="BG176" s="638"/>
      <c r="BH176" s="638"/>
      <c r="BI176" s="638"/>
      <c r="BJ176" s="638"/>
      <c r="BK176" s="638"/>
      <c r="BL176" s="638"/>
      <c r="BM176" s="638"/>
      <c r="BN176" s="638"/>
      <c r="BO176" s="638"/>
      <c r="BP176" s="638"/>
      <c r="BQ176" s="638"/>
      <c r="BR176" s="638"/>
      <c r="BS176" s="638"/>
      <c r="BT176" s="638"/>
      <c r="BU176" s="638"/>
      <c r="BV176" s="638"/>
      <c r="BW176" s="638"/>
      <c r="BX176" s="638"/>
      <c r="BY176" s="638"/>
      <c r="BZ176" s="638"/>
      <c r="CA176" s="638"/>
      <c r="CB176" s="638"/>
      <c r="CC176" s="638"/>
      <c r="CD176" s="638"/>
      <c r="CE176" s="638"/>
      <c r="CF176" s="638"/>
      <c r="CG176" s="638"/>
      <c r="CH176" s="638"/>
      <c r="CI176" s="638"/>
      <c r="CJ176" s="638"/>
      <c r="CK176" s="638"/>
      <c r="CL176" s="638"/>
      <c r="CM176" s="638"/>
      <c r="CN176" s="638"/>
      <c r="CO176" s="638"/>
      <c r="CP176" s="638"/>
      <c r="CQ176" s="638"/>
      <c r="CR176" s="638"/>
      <c r="CS176" s="638"/>
      <c r="CT176" s="638"/>
    </row>
    <row r="177" spans="1:98" s="424" customFormat="1" outlineLevel="1" x14ac:dyDescent="0.25">
      <c r="A177" s="638"/>
      <c r="B177" s="646"/>
      <c r="C177" s="638"/>
      <c r="D177" s="647"/>
      <c r="E177" s="647"/>
      <c r="F177" s="638"/>
      <c r="G177" s="638"/>
      <c r="H177" s="638"/>
      <c r="I177" s="638"/>
      <c r="J177" s="638"/>
      <c r="K177" s="638"/>
      <c r="L177" s="638"/>
      <c r="M177" s="638"/>
      <c r="N177" s="638"/>
      <c r="O177" s="638"/>
      <c r="P177" s="638"/>
      <c r="Q177" s="638"/>
      <c r="R177" s="638"/>
      <c r="S177" s="638"/>
      <c r="T177" s="638"/>
      <c r="U177" s="638"/>
      <c r="V177" s="638"/>
      <c r="W177" s="638"/>
      <c r="X177" s="638"/>
      <c r="Y177" s="638"/>
      <c r="Z177" s="638"/>
      <c r="AA177" s="638"/>
      <c r="AB177" s="638"/>
      <c r="AC177" s="638"/>
      <c r="AD177" s="638"/>
      <c r="AE177" s="638"/>
      <c r="AF177" s="638"/>
      <c r="AG177" s="638"/>
      <c r="AH177" s="638"/>
      <c r="AI177" s="638"/>
      <c r="AJ177" s="638"/>
      <c r="AK177" s="638"/>
      <c r="AL177" s="638"/>
      <c r="AM177" s="638"/>
      <c r="AN177" s="638"/>
      <c r="AO177" s="638"/>
      <c r="AP177" s="638"/>
      <c r="AQ177" s="638"/>
      <c r="AR177" s="638"/>
      <c r="AS177" s="638"/>
      <c r="AT177" s="638"/>
      <c r="AU177" s="638"/>
      <c r="AV177" s="638"/>
      <c r="AW177" s="638"/>
      <c r="AX177" s="638"/>
      <c r="AY177" s="638"/>
      <c r="AZ177" s="638"/>
      <c r="BA177" s="638"/>
      <c r="BB177" s="638"/>
      <c r="BC177" s="638"/>
      <c r="BD177" s="638"/>
      <c r="BE177" s="638"/>
      <c r="BF177" s="638"/>
      <c r="BG177" s="638"/>
      <c r="BH177" s="638"/>
      <c r="BI177" s="638"/>
      <c r="BJ177" s="638"/>
      <c r="BK177" s="638"/>
      <c r="BL177" s="638"/>
      <c r="BM177" s="638"/>
      <c r="BN177" s="638"/>
      <c r="BO177" s="638"/>
      <c r="BP177" s="638"/>
      <c r="BQ177" s="638"/>
      <c r="BR177" s="638"/>
      <c r="BS177" s="638"/>
      <c r="BT177" s="638"/>
      <c r="BU177" s="638"/>
      <c r="BV177" s="638"/>
      <c r="BW177" s="638"/>
      <c r="BX177" s="638"/>
      <c r="BY177" s="638"/>
      <c r="BZ177" s="638"/>
      <c r="CA177" s="638"/>
      <c r="CB177" s="638"/>
      <c r="CC177" s="638"/>
      <c r="CD177" s="638"/>
      <c r="CE177" s="638"/>
      <c r="CF177" s="638"/>
      <c r="CG177" s="638"/>
      <c r="CH177" s="638"/>
      <c r="CI177" s="638"/>
      <c r="CJ177" s="638"/>
      <c r="CK177" s="638"/>
      <c r="CL177" s="638"/>
      <c r="CM177" s="638"/>
      <c r="CN177" s="638"/>
      <c r="CO177" s="638"/>
      <c r="CP177" s="638"/>
      <c r="CQ177" s="638"/>
      <c r="CR177" s="638"/>
      <c r="CS177" s="638"/>
      <c r="CT177" s="638"/>
    </row>
    <row r="178" spans="1:98" s="424" customFormat="1" outlineLevel="1" x14ac:dyDescent="0.25">
      <c r="A178" s="638"/>
      <c r="B178" s="646"/>
      <c r="C178" s="436" t="s">
        <v>85</v>
      </c>
      <c r="D178" s="646"/>
      <c r="E178" s="678">
        <v>4</v>
      </c>
      <c r="F178" s="647"/>
      <c r="G178" s="647"/>
      <c r="H178" s="638"/>
      <c r="I178" s="638"/>
      <c r="J178" s="638"/>
      <c r="K178" s="638"/>
      <c r="L178" s="638"/>
      <c r="M178" s="638"/>
      <c r="N178" s="638"/>
      <c r="O178" s="638"/>
      <c r="P178" s="638"/>
      <c r="Q178" s="638"/>
      <c r="R178" s="638"/>
      <c r="S178" s="638"/>
      <c r="T178" s="638"/>
      <c r="U178" s="638"/>
      <c r="V178" s="638"/>
      <c r="W178" s="638"/>
      <c r="X178" s="638"/>
      <c r="Y178" s="638"/>
      <c r="Z178" s="638"/>
      <c r="AA178" s="638"/>
      <c r="AB178" s="638"/>
      <c r="AC178" s="638"/>
      <c r="AD178" s="638"/>
      <c r="AE178" s="638"/>
      <c r="AF178" s="638"/>
      <c r="AG178" s="638"/>
      <c r="AH178" s="638"/>
      <c r="AI178" s="638"/>
      <c r="AJ178" s="638"/>
      <c r="AK178" s="638"/>
      <c r="AL178" s="638"/>
      <c r="AM178" s="638"/>
      <c r="AN178" s="638"/>
      <c r="AO178" s="638"/>
      <c r="AP178" s="638"/>
      <c r="AQ178" s="638"/>
      <c r="AR178" s="638"/>
      <c r="AS178" s="638"/>
      <c r="AT178" s="638"/>
      <c r="AU178" s="638"/>
      <c r="AV178" s="638"/>
      <c r="AW178" s="638"/>
      <c r="AX178" s="638"/>
      <c r="AY178" s="638"/>
      <c r="AZ178" s="638"/>
      <c r="BA178" s="638"/>
      <c r="BB178" s="638"/>
      <c r="BC178" s="638"/>
      <c r="BD178" s="638"/>
      <c r="BE178" s="638"/>
      <c r="BF178" s="638"/>
      <c r="BG178" s="638"/>
      <c r="BH178" s="638"/>
      <c r="BI178" s="638"/>
      <c r="BJ178" s="638"/>
      <c r="BK178" s="638"/>
      <c r="BL178" s="638"/>
      <c r="BM178" s="638"/>
      <c r="BN178" s="638"/>
      <c r="BO178" s="638"/>
      <c r="BP178" s="638"/>
      <c r="BQ178" s="638"/>
      <c r="BR178" s="638"/>
      <c r="BS178" s="638"/>
      <c r="BT178" s="638"/>
      <c r="BU178" s="638"/>
      <c r="BV178" s="638"/>
      <c r="BW178" s="638"/>
      <c r="BX178" s="638"/>
      <c r="BY178" s="638"/>
      <c r="BZ178" s="638"/>
      <c r="CA178" s="638"/>
      <c r="CB178" s="638"/>
      <c r="CC178" s="638"/>
      <c r="CD178" s="638"/>
      <c r="CE178" s="638"/>
      <c r="CF178" s="638"/>
      <c r="CG178" s="638"/>
      <c r="CH178" s="638"/>
      <c r="CI178" s="638"/>
      <c r="CJ178" s="638"/>
      <c r="CK178" s="638"/>
      <c r="CL178" s="638"/>
      <c r="CM178" s="638"/>
      <c r="CN178" s="638"/>
      <c r="CO178" s="638"/>
      <c r="CP178" s="638"/>
      <c r="CQ178" s="638"/>
      <c r="CR178" s="638"/>
      <c r="CS178" s="638"/>
      <c r="CT178" s="638"/>
    </row>
    <row r="179" spans="1:98" s="424" customFormat="1" outlineLevel="1" x14ac:dyDescent="0.25">
      <c r="A179" s="638"/>
      <c r="B179" s="646"/>
      <c r="C179" s="638"/>
      <c r="D179" s="646"/>
      <c r="E179" s="647"/>
      <c r="F179" s="647"/>
      <c r="G179" s="647"/>
      <c r="H179" s="638"/>
      <c r="I179" s="638"/>
      <c r="J179" s="638"/>
      <c r="K179" s="638"/>
      <c r="L179" s="638"/>
      <c r="M179" s="638"/>
      <c r="N179" s="638"/>
      <c r="O179" s="638"/>
      <c r="P179" s="638"/>
      <c r="Q179" s="638"/>
      <c r="R179" s="638"/>
      <c r="S179" s="638"/>
      <c r="T179" s="638"/>
      <c r="U179" s="638"/>
      <c r="V179" s="638"/>
      <c r="W179" s="638"/>
      <c r="X179" s="638"/>
      <c r="Y179" s="638"/>
      <c r="Z179" s="638"/>
      <c r="AA179" s="638"/>
      <c r="AB179" s="638"/>
      <c r="AC179" s="638"/>
      <c r="AD179" s="638"/>
      <c r="AE179" s="638"/>
      <c r="AF179" s="638"/>
      <c r="AG179" s="638"/>
      <c r="AH179" s="638"/>
      <c r="AI179" s="638"/>
      <c r="AJ179" s="638"/>
      <c r="AK179" s="638"/>
      <c r="AL179" s="638"/>
      <c r="AM179" s="638"/>
      <c r="AN179" s="638"/>
      <c r="AO179" s="638"/>
      <c r="AP179" s="638"/>
      <c r="AQ179" s="638"/>
      <c r="AR179" s="638"/>
      <c r="AS179" s="638"/>
      <c r="AT179" s="638"/>
      <c r="AU179" s="638"/>
      <c r="AV179" s="638"/>
      <c r="AW179" s="638"/>
      <c r="AX179" s="638"/>
      <c r="AY179" s="638"/>
      <c r="AZ179" s="638"/>
      <c r="BA179" s="638"/>
      <c r="BB179" s="638"/>
      <c r="BC179" s="638"/>
      <c r="BD179" s="638"/>
      <c r="BE179" s="638"/>
      <c r="BF179" s="638"/>
      <c r="BG179" s="638"/>
      <c r="BH179" s="638"/>
      <c r="BI179" s="638"/>
      <c r="BJ179" s="638"/>
      <c r="BK179" s="638"/>
      <c r="BL179" s="638"/>
      <c r="BM179" s="638"/>
      <c r="BN179" s="638"/>
      <c r="BO179" s="638"/>
      <c r="BP179" s="638"/>
      <c r="BQ179" s="638"/>
      <c r="BR179" s="638"/>
      <c r="BS179" s="638"/>
      <c r="BT179" s="638"/>
      <c r="BU179" s="638"/>
      <c r="BV179" s="638"/>
      <c r="BW179" s="638"/>
      <c r="BX179" s="638"/>
      <c r="BY179" s="638"/>
      <c r="BZ179" s="638"/>
      <c r="CA179" s="638"/>
      <c r="CB179" s="638"/>
      <c r="CC179" s="638"/>
      <c r="CD179" s="638"/>
      <c r="CE179" s="638"/>
      <c r="CF179" s="638"/>
      <c r="CG179" s="638"/>
      <c r="CH179" s="638"/>
      <c r="CI179" s="638"/>
      <c r="CJ179" s="638"/>
      <c r="CK179" s="638"/>
      <c r="CL179" s="638"/>
      <c r="CM179" s="638"/>
      <c r="CN179" s="638"/>
      <c r="CO179" s="638"/>
      <c r="CP179" s="638"/>
      <c r="CQ179" s="638"/>
      <c r="CR179" s="638"/>
      <c r="CS179" s="638"/>
      <c r="CT179" s="638"/>
    </row>
    <row r="180" spans="1:98" s="424" customFormat="1" outlineLevel="1" x14ac:dyDescent="0.25">
      <c r="A180" s="638"/>
      <c r="B180" s="646"/>
      <c r="C180" s="227"/>
      <c r="D180" s="461">
        <v>0.5</v>
      </c>
      <c r="E180" s="647" t="s">
        <v>86</v>
      </c>
      <c r="F180" s="638"/>
      <c r="G180" s="638"/>
      <c r="H180" s="638"/>
      <c r="I180" s="638"/>
      <c r="J180" s="638"/>
      <c r="K180" s="638"/>
      <c r="L180" s="638"/>
      <c r="M180" s="638"/>
      <c r="N180" s="638"/>
      <c r="O180" s="638"/>
      <c r="P180" s="638"/>
      <c r="Q180" s="638"/>
      <c r="R180" s="638"/>
      <c r="S180" s="638"/>
      <c r="T180" s="638"/>
      <c r="U180" s="638"/>
      <c r="V180" s="638"/>
      <c r="W180" s="638"/>
      <c r="X180" s="638"/>
      <c r="Y180" s="638"/>
      <c r="Z180" s="638"/>
      <c r="AA180" s="638"/>
      <c r="AB180" s="638"/>
      <c r="AC180" s="638"/>
      <c r="AD180" s="638"/>
      <c r="AE180" s="638"/>
      <c r="AF180" s="638"/>
      <c r="AG180" s="638"/>
      <c r="AH180" s="638"/>
      <c r="AI180" s="638"/>
      <c r="AJ180" s="638"/>
      <c r="AK180" s="638"/>
      <c r="AL180" s="638"/>
      <c r="AM180" s="638"/>
      <c r="AN180" s="638"/>
      <c r="AO180" s="638"/>
      <c r="AP180" s="638"/>
      <c r="AQ180" s="638"/>
      <c r="AR180" s="638"/>
      <c r="AS180" s="638"/>
      <c r="AT180" s="638"/>
      <c r="AU180" s="638"/>
      <c r="AV180" s="638"/>
      <c r="AW180" s="638"/>
      <c r="AX180" s="638"/>
      <c r="AY180" s="638"/>
      <c r="AZ180" s="638"/>
      <c r="BA180" s="638"/>
      <c r="BB180" s="638"/>
      <c r="BC180" s="638"/>
      <c r="BD180" s="638"/>
      <c r="BE180" s="638"/>
      <c r="BF180" s="638"/>
      <c r="BG180" s="638"/>
      <c r="BH180" s="638"/>
      <c r="BI180" s="638"/>
      <c r="BJ180" s="638"/>
      <c r="BK180" s="638"/>
      <c r="BL180" s="638"/>
      <c r="BM180" s="638"/>
      <c r="BN180" s="638"/>
      <c r="BO180" s="638"/>
      <c r="BP180" s="638"/>
      <c r="BQ180" s="638"/>
      <c r="BR180" s="638"/>
      <c r="BS180" s="638"/>
      <c r="BT180" s="638"/>
      <c r="BU180" s="638"/>
      <c r="BV180" s="638"/>
      <c r="BW180" s="638"/>
      <c r="BX180" s="638"/>
      <c r="BY180" s="638"/>
      <c r="BZ180" s="638"/>
      <c r="CA180" s="638"/>
      <c r="CB180" s="638"/>
      <c r="CC180" s="638"/>
      <c r="CD180" s="638"/>
      <c r="CE180" s="638"/>
      <c r="CF180" s="638"/>
      <c r="CG180" s="638"/>
      <c r="CH180" s="638"/>
      <c r="CI180" s="638"/>
      <c r="CJ180" s="638"/>
      <c r="CK180" s="638"/>
      <c r="CL180" s="638"/>
      <c r="CM180" s="638"/>
      <c r="CN180" s="638"/>
      <c r="CO180" s="638"/>
      <c r="CP180" s="638"/>
      <c r="CQ180" s="638"/>
      <c r="CR180" s="638"/>
      <c r="CS180" s="638"/>
      <c r="CT180" s="638"/>
    </row>
    <row r="181" spans="1:98" s="424" customFormat="1" outlineLevel="1" x14ac:dyDescent="0.25">
      <c r="A181" s="638"/>
      <c r="B181" s="646"/>
      <c r="C181" s="227" t="s">
        <v>87</v>
      </c>
      <c r="D181" s="462" t="s">
        <v>88</v>
      </c>
      <c r="E181" s="647"/>
      <c r="F181" s="638"/>
      <c r="G181" s="638"/>
      <c r="H181" s="638"/>
      <c r="I181" s="638"/>
      <c r="J181" s="638"/>
      <c r="K181" s="638"/>
      <c r="L181" s="638"/>
      <c r="M181" s="638"/>
      <c r="N181" s="638"/>
      <c r="O181" s="638"/>
      <c r="P181" s="638"/>
      <c r="Q181" s="638"/>
      <c r="R181" s="638"/>
      <c r="S181" s="638"/>
      <c r="T181" s="638"/>
      <c r="U181" s="638"/>
      <c r="V181" s="638"/>
      <c r="W181" s="638"/>
      <c r="X181" s="638"/>
      <c r="Y181" s="638"/>
      <c r="Z181" s="638"/>
      <c r="AA181" s="638"/>
      <c r="AB181" s="638"/>
      <c r="AC181" s="638"/>
      <c r="AD181" s="638"/>
      <c r="AE181" s="638"/>
      <c r="AF181" s="638"/>
      <c r="AG181" s="638"/>
      <c r="AH181" s="638"/>
      <c r="AI181" s="638"/>
      <c r="AJ181" s="638"/>
      <c r="AK181" s="638"/>
      <c r="AL181" s="638"/>
      <c r="AM181" s="638"/>
      <c r="AN181" s="638"/>
      <c r="AO181" s="638"/>
      <c r="AP181" s="638"/>
      <c r="AQ181" s="638"/>
      <c r="AR181" s="638"/>
      <c r="AS181" s="638"/>
      <c r="AT181" s="638"/>
      <c r="AU181" s="638"/>
      <c r="AV181" s="638"/>
      <c r="AW181" s="638"/>
      <c r="AX181" s="638"/>
      <c r="AY181" s="638"/>
      <c r="AZ181" s="638"/>
      <c r="BA181" s="638"/>
      <c r="BB181" s="638"/>
      <c r="BC181" s="638"/>
      <c r="BD181" s="638"/>
      <c r="BE181" s="638"/>
      <c r="BF181" s="638"/>
      <c r="BG181" s="638"/>
      <c r="BH181" s="638"/>
      <c r="BI181" s="638"/>
      <c r="BJ181" s="638"/>
      <c r="BK181" s="638"/>
      <c r="BL181" s="638"/>
      <c r="BM181" s="638"/>
      <c r="BN181" s="638"/>
      <c r="BO181" s="638"/>
      <c r="BP181" s="638"/>
      <c r="BQ181" s="638"/>
      <c r="BR181" s="638"/>
      <c r="BS181" s="638"/>
      <c r="BT181" s="638"/>
      <c r="BU181" s="638"/>
      <c r="BV181" s="638"/>
      <c r="BW181" s="638"/>
      <c r="BX181" s="638"/>
      <c r="BY181" s="638"/>
      <c r="BZ181" s="638"/>
      <c r="CA181" s="638"/>
      <c r="CB181" s="638"/>
      <c r="CC181" s="638"/>
      <c r="CD181" s="638"/>
      <c r="CE181" s="638"/>
      <c r="CF181" s="638"/>
      <c r="CG181" s="638"/>
      <c r="CH181" s="638"/>
      <c r="CI181" s="638"/>
      <c r="CJ181" s="638"/>
      <c r="CK181" s="638"/>
      <c r="CL181" s="638"/>
      <c r="CM181" s="638"/>
      <c r="CN181" s="638"/>
      <c r="CO181" s="638"/>
      <c r="CP181" s="638"/>
      <c r="CQ181" s="638"/>
      <c r="CR181" s="638"/>
      <c r="CS181" s="638"/>
      <c r="CT181" s="638"/>
    </row>
    <row r="182" spans="1:98" s="424" customFormat="1" outlineLevel="1" x14ac:dyDescent="0.25">
      <c r="A182" s="638"/>
      <c r="B182" s="646"/>
      <c r="C182" s="227" t="s">
        <v>89</v>
      </c>
      <c r="D182" s="463">
        <v>5</v>
      </c>
      <c r="E182" s="647"/>
      <c r="F182" s="638"/>
      <c r="G182" s="638"/>
      <c r="H182" s="638"/>
      <c r="I182" s="638"/>
      <c r="J182" s="638"/>
      <c r="K182" s="638"/>
      <c r="L182" s="638"/>
      <c r="M182" s="638"/>
      <c r="N182" s="638"/>
      <c r="O182" s="638"/>
      <c r="P182" s="638"/>
      <c r="Q182" s="638"/>
      <c r="R182" s="638"/>
      <c r="S182" s="638"/>
      <c r="T182" s="638"/>
      <c r="U182" s="638"/>
      <c r="V182" s="638"/>
      <c r="W182" s="638"/>
      <c r="X182" s="638"/>
      <c r="Y182" s="638"/>
      <c r="Z182" s="638"/>
      <c r="AA182" s="638"/>
      <c r="AB182" s="638"/>
      <c r="AC182" s="638"/>
      <c r="AD182" s="638"/>
      <c r="AE182" s="638"/>
      <c r="AF182" s="638"/>
      <c r="AG182" s="638"/>
      <c r="AH182" s="638"/>
      <c r="AI182" s="638"/>
      <c r="AJ182" s="638"/>
      <c r="AK182" s="638"/>
      <c r="AL182" s="638"/>
      <c r="AM182" s="638"/>
      <c r="AN182" s="638"/>
      <c r="AO182" s="638"/>
      <c r="AP182" s="638"/>
      <c r="AQ182" s="638"/>
      <c r="AR182" s="638"/>
      <c r="AS182" s="638"/>
      <c r="AT182" s="638"/>
      <c r="AU182" s="638"/>
      <c r="AV182" s="638"/>
      <c r="AW182" s="638"/>
      <c r="AX182" s="638"/>
      <c r="AY182" s="638"/>
      <c r="AZ182" s="638"/>
      <c r="BA182" s="638"/>
      <c r="BB182" s="638"/>
      <c r="BC182" s="638"/>
      <c r="BD182" s="638"/>
      <c r="BE182" s="638"/>
      <c r="BF182" s="638"/>
      <c r="BG182" s="638"/>
      <c r="BH182" s="638"/>
      <c r="BI182" s="638"/>
      <c r="BJ182" s="638"/>
      <c r="BK182" s="638"/>
      <c r="BL182" s="638"/>
      <c r="BM182" s="638"/>
      <c r="BN182" s="638"/>
      <c r="BO182" s="638"/>
      <c r="BP182" s="638"/>
      <c r="BQ182" s="638"/>
      <c r="BR182" s="638"/>
      <c r="BS182" s="638"/>
      <c r="BT182" s="638"/>
      <c r="BU182" s="638"/>
      <c r="BV182" s="638"/>
      <c r="BW182" s="638"/>
      <c r="BX182" s="638"/>
      <c r="BY182" s="638"/>
      <c r="BZ182" s="638"/>
      <c r="CA182" s="638"/>
      <c r="CB182" s="638"/>
      <c r="CC182" s="638"/>
      <c r="CD182" s="638"/>
      <c r="CE182" s="638"/>
      <c r="CF182" s="638"/>
      <c r="CG182" s="638"/>
      <c r="CH182" s="638"/>
      <c r="CI182" s="638"/>
      <c r="CJ182" s="638"/>
      <c r="CK182" s="638"/>
      <c r="CL182" s="638"/>
      <c r="CM182" s="638"/>
      <c r="CN182" s="638"/>
      <c r="CO182" s="638"/>
      <c r="CP182" s="638"/>
      <c r="CQ182" s="638"/>
      <c r="CR182" s="638"/>
      <c r="CS182" s="638"/>
      <c r="CT182" s="638"/>
    </row>
    <row r="183" spans="1:98" s="424" customFormat="1" outlineLevel="1" x14ac:dyDescent="0.25">
      <c r="A183" s="638"/>
      <c r="B183" s="646"/>
      <c r="C183" s="638"/>
      <c r="D183" s="463">
        <f>D182+$D$180</f>
        <v>5.5</v>
      </c>
      <c r="E183" s="647"/>
      <c r="F183" s="638"/>
      <c r="G183" s="638"/>
      <c r="H183" s="638"/>
      <c r="I183" s="638"/>
      <c r="J183" s="638"/>
      <c r="K183" s="638"/>
      <c r="L183" s="638"/>
      <c r="M183" s="638"/>
      <c r="N183" s="638"/>
      <c r="O183" s="638"/>
      <c r="P183" s="638"/>
      <c r="Q183" s="638"/>
      <c r="R183" s="638"/>
      <c r="S183" s="638"/>
      <c r="T183" s="638"/>
      <c r="U183" s="638"/>
      <c r="V183" s="638"/>
      <c r="W183" s="638"/>
      <c r="X183" s="638"/>
      <c r="Y183" s="638"/>
      <c r="Z183" s="638"/>
      <c r="AA183" s="638"/>
      <c r="AB183" s="638"/>
      <c r="AC183" s="638"/>
      <c r="AD183" s="638"/>
      <c r="AE183" s="638"/>
      <c r="AF183" s="638"/>
      <c r="AG183" s="638"/>
      <c r="AH183" s="638"/>
      <c r="AI183" s="638"/>
      <c r="AJ183" s="638"/>
      <c r="AK183" s="638"/>
      <c r="AL183" s="638"/>
      <c r="AM183" s="638"/>
      <c r="AN183" s="638"/>
      <c r="AO183" s="638"/>
      <c r="AP183" s="638"/>
      <c r="AQ183" s="638"/>
      <c r="AR183" s="638"/>
      <c r="AS183" s="638"/>
      <c r="AT183" s="638"/>
      <c r="AU183" s="638"/>
      <c r="AV183" s="638"/>
      <c r="AW183" s="638"/>
      <c r="AX183" s="638"/>
      <c r="AY183" s="638"/>
      <c r="AZ183" s="638"/>
      <c r="BA183" s="638"/>
      <c r="BB183" s="638"/>
      <c r="BC183" s="638"/>
      <c r="BD183" s="638"/>
      <c r="BE183" s="638"/>
      <c r="BF183" s="638"/>
      <c r="BG183" s="638"/>
      <c r="BH183" s="638"/>
      <c r="BI183" s="638"/>
      <c r="BJ183" s="638"/>
      <c r="BK183" s="638"/>
      <c r="BL183" s="638"/>
      <c r="BM183" s="638"/>
      <c r="BN183" s="638"/>
      <c r="BO183" s="638"/>
      <c r="BP183" s="638"/>
      <c r="BQ183" s="638"/>
      <c r="BR183" s="638"/>
      <c r="BS183" s="638"/>
      <c r="BT183" s="638"/>
      <c r="BU183" s="638"/>
      <c r="BV183" s="638"/>
      <c r="BW183" s="638"/>
      <c r="BX183" s="638"/>
      <c r="BY183" s="638"/>
      <c r="BZ183" s="638"/>
      <c r="CA183" s="638"/>
      <c r="CB183" s="638"/>
      <c r="CC183" s="638"/>
      <c r="CD183" s="638"/>
      <c r="CE183" s="638"/>
      <c r="CF183" s="638"/>
      <c r="CG183" s="638"/>
      <c r="CH183" s="638"/>
      <c r="CI183" s="638"/>
      <c r="CJ183" s="638"/>
      <c r="CK183" s="638"/>
      <c r="CL183" s="638"/>
      <c r="CM183" s="638"/>
      <c r="CN183" s="638"/>
      <c r="CO183" s="638"/>
      <c r="CP183" s="638"/>
      <c r="CQ183" s="638"/>
      <c r="CR183" s="638"/>
      <c r="CS183" s="638"/>
      <c r="CT183" s="638"/>
    </row>
    <row r="184" spans="1:98" s="424" customFormat="1" outlineLevel="1" x14ac:dyDescent="0.25">
      <c r="A184" s="638"/>
      <c r="B184" s="646"/>
      <c r="C184" s="638"/>
      <c r="D184" s="463">
        <f t="shared" ref="D184:D189" si="23">D183+$D$180</f>
        <v>6</v>
      </c>
      <c r="E184" s="647"/>
      <c r="F184" s="638"/>
      <c r="G184" s="638"/>
      <c r="H184" s="638"/>
      <c r="I184" s="638"/>
      <c r="J184" s="638"/>
      <c r="K184" s="638"/>
      <c r="L184" s="638"/>
      <c r="M184" s="638"/>
      <c r="N184" s="638"/>
      <c r="O184" s="638"/>
      <c r="P184" s="638"/>
      <c r="Q184" s="638"/>
      <c r="R184" s="638"/>
      <c r="S184" s="638"/>
      <c r="T184" s="638"/>
      <c r="U184" s="638"/>
      <c r="V184" s="638"/>
      <c r="W184" s="638"/>
      <c r="X184" s="638"/>
      <c r="Y184" s="638"/>
      <c r="Z184" s="638"/>
      <c r="AA184" s="638"/>
      <c r="AB184" s="638"/>
      <c r="AC184" s="638"/>
      <c r="AD184" s="638"/>
      <c r="AE184" s="638"/>
      <c r="AF184" s="638"/>
      <c r="AG184" s="638"/>
      <c r="AH184" s="638"/>
      <c r="AI184" s="638"/>
      <c r="AJ184" s="638"/>
      <c r="AK184" s="638"/>
      <c r="AL184" s="638"/>
      <c r="AM184" s="638"/>
      <c r="AN184" s="638"/>
      <c r="AO184" s="638"/>
      <c r="AP184" s="638"/>
      <c r="AQ184" s="638"/>
      <c r="AR184" s="638"/>
      <c r="AS184" s="638"/>
      <c r="AT184" s="638"/>
      <c r="AU184" s="638"/>
      <c r="AV184" s="638"/>
      <c r="AW184" s="638"/>
      <c r="AX184" s="638"/>
      <c r="AY184" s="638"/>
      <c r="AZ184" s="638"/>
      <c r="BA184" s="638"/>
      <c r="BB184" s="638"/>
      <c r="BC184" s="638"/>
      <c r="BD184" s="638"/>
      <c r="BE184" s="638"/>
      <c r="BF184" s="638"/>
      <c r="BG184" s="638"/>
      <c r="BH184" s="638"/>
      <c r="BI184" s="638"/>
      <c r="BJ184" s="638"/>
      <c r="BK184" s="638"/>
      <c r="BL184" s="638"/>
      <c r="BM184" s="638"/>
      <c r="BN184" s="638"/>
      <c r="BO184" s="638"/>
      <c r="BP184" s="638"/>
      <c r="BQ184" s="638"/>
      <c r="BR184" s="638"/>
      <c r="BS184" s="638"/>
      <c r="BT184" s="638"/>
      <c r="BU184" s="638"/>
      <c r="BV184" s="638"/>
      <c r="BW184" s="638"/>
      <c r="BX184" s="638"/>
      <c r="BY184" s="638"/>
      <c r="BZ184" s="638"/>
      <c r="CA184" s="638"/>
      <c r="CB184" s="638"/>
      <c r="CC184" s="638"/>
      <c r="CD184" s="638"/>
      <c r="CE184" s="638"/>
      <c r="CF184" s="638"/>
      <c r="CG184" s="638"/>
      <c r="CH184" s="638"/>
      <c r="CI184" s="638"/>
      <c r="CJ184" s="638"/>
      <c r="CK184" s="638"/>
      <c r="CL184" s="638"/>
      <c r="CM184" s="638"/>
      <c r="CN184" s="638"/>
      <c r="CO184" s="638"/>
      <c r="CP184" s="638"/>
      <c r="CQ184" s="638"/>
      <c r="CR184" s="638"/>
      <c r="CS184" s="638"/>
      <c r="CT184" s="638"/>
    </row>
    <row r="185" spans="1:98" s="424" customFormat="1" outlineLevel="1" x14ac:dyDescent="0.25">
      <c r="A185" s="638"/>
      <c r="B185" s="646"/>
      <c r="C185" s="638"/>
      <c r="D185" s="463">
        <f t="shared" si="23"/>
        <v>6.5</v>
      </c>
      <c r="E185" s="647"/>
      <c r="F185" s="638"/>
      <c r="G185" s="638"/>
      <c r="H185" s="638"/>
      <c r="I185" s="638"/>
      <c r="J185" s="638"/>
      <c r="K185" s="638"/>
      <c r="L185" s="638"/>
      <c r="M185" s="638"/>
      <c r="N185" s="638"/>
      <c r="O185" s="638"/>
      <c r="P185" s="638"/>
      <c r="Q185" s="638"/>
      <c r="R185" s="638"/>
      <c r="S185" s="638"/>
      <c r="T185" s="638"/>
      <c r="U185" s="638"/>
      <c r="V185" s="638"/>
      <c r="W185" s="638"/>
      <c r="X185" s="638"/>
      <c r="Y185" s="638"/>
      <c r="Z185" s="638"/>
      <c r="AA185" s="638"/>
      <c r="AB185" s="638"/>
      <c r="AC185" s="638"/>
      <c r="AD185" s="638"/>
      <c r="AE185" s="638"/>
      <c r="AF185" s="638"/>
      <c r="AG185" s="638"/>
      <c r="AH185" s="638"/>
      <c r="AI185" s="638"/>
      <c r="AJ185" s="638"/>
      <c r="AK185" s="638"/>
      <c r="AL185" s="638"/>
      <c r="AM185" s="638"/>
      <c r="AN185" s="638"/>
      <c r="AO185" s="638"/>
      <c r="AP185" s="638"/>
      <c r="AQ185" s="638"/>
      <c r="AR185" s="638"/>
      <c r="AS185" s="638"/>
      <c r="AT185" s="638"/>
      <c r="AU185" s="638"/>
      <c r="AV185" s="638"/>
      <c r="AW185" s="638"/>
      <c r="AX185" s="638"/>
      <c r="AY185" s="638"/>
      <c r="AZ185" s="638"/>
      <c r="BA185" s="638"/>
      <c r="BB185" s="638"/>
      <c r="BC185" s="638"/>
      <c r="BD185" s="638"/>
      <c r="BE185" s="638"/>
      <c r="BF185" s="638"/>
      <c r="BG185" s="638"/>
      <c r="BH185" s="638"/>
      <c r="BI185" s="638"/>
      <c r="BJ185" s="638"/>
      <c r="BK185" s="638"/>
      <c r="BL185" s="638"/>
      <c r="BM185" s="638"/>
      <c r="BN185" s="638"/>
      <c r="BO185" s="638"/>
      <c r="BP185" s="638"/>
      <c r="BQ185" s="638"/>
      <c r="BR185" s="638"/>
      <c r="BS185" s="638"/>
      <c r="BT185" s="638"/>
      <c r="BU185" s="638"/>
      <c r="BV185" s="638"/>
      <c r="BW185" s="638"/>
      <c r="BX185" s="638"/>
      <c r="BY185" s="638"/>
      <c r="BZ185" s="638"/>
      <c r="CA185" s="638"/>
      <c r="CB185" s="638"/>
      <c r="CC185" s="638"/>
      <c r="CD185" s="638"/>
      <c r="CE185" s="638"/>
      <c r="CF185" s="638"/>
      <c r="CG185" s="638"/>
      <c r="CH185" s="638"/>
      <c r="CI185" s="638"/>
      <c r="CJ185" s="638"/>
      <c r="CK185" s="638"/>
      <c r="CL185" s="638"/>
      <c r="CM185" s="638"/>
      <c r="CN185" s="638"/>
      <c r="CO185" s="638"/>
      <c r="CP185" s="638"/>
      <c r="CQ185" s="638"/>
      <c r="CR185" s="638"/>
      <c r="CS185" s="638"/>
      <c r="CT185" s="638"/>
    </row>
    <row r="186" spans="1:98" s="424" customFormat="1" outlineLevel="1" x14ac:dyDescent="0.25">
      <c r="A186" s="638"/>
      <c r="B186" s="646"/>
      <c r="C186" s="638"/>
      <c r="D186" s="463">
        <f t="shared" si="23"/>
        <v>7</v>
      </c>
      <c r="E186" s="647"/>
      <c r="F186" s="638"/>
      <c r="G186" s="638"/>
      <c r="H186" s="638"/>
      <c r="I186" s="638"/>
      <c r="J186" s="638"/>
      <c r="K186" s="638"/>
      <c r="L186" s="638"/>
      <c r="M186" s="638"/>
      <c r="N186" s="638"/>
      <c r="O186" s="638"/>
      <c r="P186" s="638"/>
      <c r="Q186" s="638"/>
      <c r="R186" s="638"/>
      <c r="S186" s="638"/>
      <c r="T186" s="638"/>
      <c r="U186" s="638"/>
      <c r="V186" s="638"/>
      <c r="W186" s="638"/>
      <c r="X186" s="638"/>
      <c r="Y186" s="638"/>
      <c r="Z186" s="638"/>
      <c r="AA186" s="638"/>
      <c r="AB186" s="638"/>
      <c r="AC186" s="638"/>
      <c r="AD186" s="638"/>
      <c r="AE186" s="638"/>
      <c r="AF186" s="638"/>
      <c r="AG186" s="638"/>
      <c r="AH186" s="638"/>
      <c r="AI186" s="638"/>
      <c r="AJ186" s="638"/>
      <c r="AK186" s="638"/>
      <c r="AL186" s="638"/>
      <c r="AM186" s="638"/>
      <c r="AN186" s="638"/>
      <c r="AO186" s="638"/>
      <c r="AP186" s="638"/>
      <c r="AQ186" s="638"/>
      <c r="AR186" s="638"/>
      <c r="AS186" s="638"/>
      <c r="AT186" s="638"/>
      <c r="AU186" s="638"/>
      <c r="AV186" s="638"/>
      <c r="AW186" s="638"/>
      <c r="AX186" s="638"/>
      <c r="AY186" s="638"/>
      <c r="AZ186" s="638"/>
      <c r="BA186" s="638"/>
      <c r="BB186" s="638"/>
      <c r="BC186" s="638"/>
      <c r="BD186" s="638"/>
      <c r="BE186" s="638"/>
      <c r="BF186" s="638"/>
      <c r="BG186" s="638"/>
      <c r="BH186" s="638"/>
      <c r="BI186" s="638"/>
      <c r="BJ186" s="638"/>
      <c r="BK186" s="638"/>
      <c r="BL186" s="638"/>
      <c r="BM186" s="638"/>
      <c r="BN186" s="638"/>
      <c r="BO186" s="638"/>
      <c r="BP186" s="638"/>
      <c r="BQ186" s="638"/>
      <c r="BR186" s="638"/>
      <c r="BS186" s="638"/>
      <c r="BT186" s="638"/>
      <c r="BU186" s="638"/>
      <c r="BV186" s="638"/>
      <c r="BW186" s="638"/>
      <c r="BX186" s="638"/>
      <c r="BY186" s="638"/>
      <c r="BZ186" s="638"/>
      <c r="CA186" s="638"/>
      <c r="CB186" s="638"/>
      <c r="CC186" s="638"/>
      <c r="CD186" s="638"/>
      <c r="CE186" s="638"/>
      <c r="CF186" s="638"/>
      <c r="CG186" s="638"/>
      <c r="CH186" s="638"/>
      <c r="CI186" s="638"/>
      <c r="CJ186" s="638"/>
      <c r="CK186" s="638"/>
      <c r="CL186" s="638"/>
      <c r="CM186" s="638"/>
      <c r="CN186" s="638"/>
      <c r="CO186" s="638"/>
      <c r="CP186" s="638"/>
      <c r="CQ186" s="638"/>
      <c r="CR186" s="638"/>
      <c r="CS186" s="638"/>
      <c r="CT186" s="638"/>
    </row>
    <row r="187" spans="1:98" s="424" customFormat="1" outlineLevel="1" x14ac:dyDescent="0.25">
      <c r="A187" s="638"/>
      <c r="B187" s="646"/>
      <c r="C187" s="638"/>
      <c r="D187" s="463">
        <f t="shared" si="23"/>
        <v>7.5</v>
      </c>
      <c r="E187" s="647"/>
      <c r="F187" s="638"/>
      <c r="G187" s="638"/>
      <c r="H187" s="638"/>
      <c r="I187" s="638"/>
      <c r="J187" s="638"/>
      <c r="K187" s="638"/>
      <c r="L187" s="638"/>
      <c r="M187" s="638"/>
      <c r="N187" s="638"/>
      <c r="O187" s="638"/>
      <c r="P187" s="638"/>
      <c r="Q187" s="638"/>
      <c r="R187" s="638"/>
      <c r="S187" s="638"/>
      <c r="T187" s="638"/>
      <c r="U187" s="638"/>
      <c r="V187" s="638"/>
      <c r="W187" s="638"/>
      <c r="X187" s="638"/>
      <c r="Y187" s="638"/>
      <c r="Z187" s="638"/>
      <c r="AA187" s="638"/>
      <c r="AB187" s="638"/>
      <c r="AC187" s="638"/>
      <c r="AD187" s="638"/>
      <c r="AE187" s="638"/>
      <c r="AF187" s="638"/>
      <c r="AG187" s="638"/>
      <c r="AH187" s="638"/>
      <c r="AI187" s="638"/>
      <c r="AJ187" s="638"/>
      <c r="AK187" s="638"/>
      <c r="AL187" s="638"/>
      <c r="AM187" s="638"/>
      <c r="AN187" s="638"/>
      <c r="AO187" s="638"/>
      <c r="AP187" s="638"/>
      <c r="AQ187" s="638"/>
      <c r="AR187" s="638"/>
      <c r="AS187" s="638"/>
      <c r="AT187" s="638"/>
      <c r="AU187" s="638"/>
      <c r="AV187" s="638"/>
      <c r="AW187" s="638"/>
      <c r="AX187" s="638"/>
      <c r="AY187" s="638"/>
      <c r="AZ187" s="638"/>
      <c r="BA187" s="638"/>
      <c r="BB187" s="638"/>
      <c r="BC187" s="638"/>
      <c r="BD187" s="638"/>
      <c r="BE187" s="638"/>
      <c r="BF187" s="638"/>
      <c r="BG187" s="638"/>
      <c r="BH187" s="638"/>
      <c r="BI187" s="638"/>
      <c r="BJ187" s="638"/>
      <c r="BK187" s="638"/>
      <c r="BL187" s="638"/>
      <c r="BM187" s="638"/>
      <c r="BN187" s="638"/>
      <c r="BO187" s="638"/>
      <c r="BP187" s="638"/>
      <c r="BQ187" s="638"/>
      <c r="BR187" s="638"/>
      <c r="BS187" s="638"/>
      <c r="BT187" s="638"/>
      <c r="BU187" s="638"/>
      <c r="BV187" s="638"/>
      <c r="BW187" s="638"/>
      <c r="BX187" s="638"/>
      <c r="BY187" s="638"/>
      <c r="BZ187" s="638"/>
      <c r="CA187" s="638"/>
      <c r="CB187" s="638"/>
      <c r="CC187" s="638"/>
      <c r="CD187" s="638"/>
      <c r="CE187" s="638"/>
      <c r="CF187" s="638"/>
      <c r="CG187" s="638"/>
      <c r="CH187" s="638"/>
      <c r="CI187" s="638"/>
      <c r="CJ187" s="638"/>
      <c r="CK187" s="638"/>
      <c r="CL187" s="638"/>
      <c r="CM187" s="638"/>
      <c r="CN187" s="638"/>
      <c r="CO187" s="638"/>
      <c r="CP187" s="638"/>
      <c r="CQ187" s="638"/>
      <c r="CR187" s="638"/>
      <c r="CS187" s="638"/>
      <c r="CT187" s="638"/>
    </row>
    <row r="188" spans="1:98" s="424" customFormat="1" outlineLevel="1" x14ac:dyDescent="0.25">
      <c r="A188" s="638"/>
      <c r="B188" s="646"/>
      <c r="C188" s="638"/>
      <c r="D188" s="463">
        <f t="shared" si="23"/>
        <v>8</v>
      </c>
      <c r="E188" s="647"/>
      <c r="F188" s="638"/>
      <c r="G188" s="638"/>
      <c r="H188" s="638"/>
      <c r="I188" s="638"/>
      <c r="J188" s="638"/>
      <c r="K188" s="638"/>
      <c r="L188" s="638"/>
      <c r="M188" s="638"/>
      <c r="N188" s="638"/>
      <c r="O188" s="638"/>
      <c r="P188" s="638"/>
      <c r="Q188" s="638"/>
      <c r="R188" s="638"/>
      <c r="S188" s="638"/>
      <c r="T188" s="638"/>
      <c r="U188" s="638"/>
      <c r="V188" s="638"/>
      <c r="W188" s="638"/>
      <c r="X188" s="638"/>
      <c r="Y188" s="638"/>
      <c r="Z188" s="638"/>
      <c r="AA188" s="638"/>
      <c r="AB188" s="638"/>
      <c r="AC188" s="638"/>
      <c r="AD188" s="638"/>
      <c r="AE188" s="638"/>
      <c r="AF188" s="638"/>
      <c r="AG188" s="638"/>
      <c r="AH188" s="638"/>
      <c r="AI188" s="638"/>
      <c r="AJ188" s="638"/>
      <c r="AK188" s="638"/>
      <c r="AL188" s="638"/>
      <c r="AM188" s="638"/>
      <c r="AN188" s="638"/>
      <c r="AO188" s="638"/>
      <c r="AP188" s="638"/>
      <c r="AQ188" s="638"/>
      <c r="AR188" s="638"/>
      <c r="AS188" s="638"/>
      <c r="AT188" s="638"/>
      <c r="AU188" s="638"/>
      <c r="AV188" s="638"/>
      <c r="AW188" s="638"/>
      <c r="AX188" s="638"/>
      <c r="AY188" s="638"/>
      <c r="AZ188" s="638"/>
      <c r="BA188" s="638"/>
      <c r="BB188" s="638"/>
      <c r="BC188" s="638"/>
      <c r="BD188" s="638"/>
      <c r="BE188" s="638"/>
      <c r="BF188" s="638"/>
      <c r="BG188" s="638"/>
      <c r="BH188" s="638"/>
      <c r="BI188" s="638"/>
      <c r="BJ188" s="638"/>
      <c r="BK188" s="638"/>
      <c r="BL188" s="638"/>
      <c r="BM188" s="638"/>
      <c r="BN188" s="638"/>
      <c r="BO188" s="638"/>
      <c r="BP188" s="638"/>
      <c r="BQ188" s="638"/>
      <c r="BR188" s="638"/>
      <c r="BS188" s="638"/>
      <c r="BT188" s="638"/>
      <c r="BU188" s="638"/>
      <c r="BV188" s="638"/>
      <c r="BW188" s="638"/>
      <c r="BX188" s="638"/>
      <c r="BY188" s="638"/>
      <c r="BZ188" s="638"/>
      <c r="CA188" s="638"/>
      <c r="CB188" s="638"/>
      <c r="CC188" s="638"/>
      <c r="CD188" s="638"/>
      <c r="CE188" s="638"/>
      <c r="CF188" s="638"/>
      <c r="CG188" s="638"/>
      <c r="CH188" s="638"/>
      <c r="CI188" s="638"/>
      <c r="CJ188" s="638"/>
      <c r="CK188" s="638"/>
      <c r="CL188" s="638"/>
      <c r="CM188" s="638"/>
      <c r="CN188" s="638"/>
      <c r="CO188" s="638"/>
      <c r="CP188" s="638"/>
      <c r="CQ188" s="638"/>
      <c r="CR188" s="638"/>
      <c r="CS188" s="638"/>
      <c r="CT188" s="638"/>
    </row>
    <row r="189" spans="1:98" s="424" customFormat="1" outlineLevel="1" x14ac:dyDescent="0.25">
      <c r="A189" s="638"/>
      <c r="B189" s="646"/>
      <c r="C189" s="638"/>
      <c r="D189" s="463">
        <f t="shared" si="23"/>
        <v>8.5</v>
      </c>
      <c r="E189" s="647"/>
      <c r="F189" s="638"/>
      <c r="G189" s="638"/>
      <c r="H189" s="638"/>
      <c r="I189" s="638"/>
      <c r="J189" s="638"/>
      <c r="K189" s="638"/>
      <c r="L189" s="638"/>
      <c r="M189" s="638"/>
      <c r="N189" s="638"/>
      <c r="O189" s="638"/>
      <c r="P189" s="638"/>
      <c r="Q189" s="638"/>
      <c r="R189" s="638"/>
      <c r="S189" s="638"/>
      <c r="T189" s="638"/>
      <c r="U189" s="638"/>
      <c r="V189" s="638"/>
      <c r="W189" s="638"/>
      <c r="X189" s="638"/>
      <c r="Y189" s="638"/>
      <c r="Z189" s="638"/>
      <c r="AA189" s="638"/>
      <c r="AB189" s="638"/>
      <c r="AC189" s="638"/>
      <c r="AD189" s="638"/>
      <c r="AE189" s="638"/>
      <c r="AF189" s="638"/>
      <c r="AG189" s="638"/>
      <c r="AH189" s="638"/>
      <c r="AI189" s="638"/>
      <c r="AJ189" s="638"/>
      <c r="AK189" s="638"/>
      <c r="AL189" s="638"/>
      <c r="AM189" s="638"/>
      <c r="AN189" s="638"/>
      <c r="AO189" s="638"/>
      <c r="AP189" s="638"/>
      <c r="AQ189" s="638"/>
      <c r="AR189" s="638"/>
      <c r="AS189" s="638"/>
      <c r="AT189" s="638"/>
      <c r="AU189" s="638"/>
      <c r="AV189" s="638"/>
      <c r="AW189" s="638"/>
      <c r="AX189" s="638"/>
      <c r="AY189" s="638"/>
      <c r="AZ189" s="638"/>
      <c r="BA189" s="638"/>
      <c r="BB189" s="638"/>
      <c r="BC189" s="638"/>
      <c r="BD189" s="638"/>
      <c r="BE189" s="638"/>
      <c r="BF189" s="638"/>
      <c r="BG189" s="638"/>
      <c r="BH189" s="638"/>
      <c r="BI189" s="638"/>
      <c r="BJ189" s="638"/>
      <c r="BK189" s="638"/>
      <c r="BL189" s="638"/>
      <c r="BM189" s="638"/>
      <c r="BN189" s="638"/>
      <c r="BO189" s="638"/>
      <c r="BP189" s="638"/>
      <c r="BQ189" s="638"/>
      <c r="BR189" s="638"/>
      <c r="BS189" s="638"/>
      <c r="BT189" s="638"/>
      <c r="BU189" s="638"/>
      <c r="BV189" s="638"/>
      <c r="BW189" s="638"/>
      <c r="BX189" s="638"/>
      <c r="BY189" s="638"/>
      <c r="BZ189" s="638"/>
      <c r="CA189" s="638"/>
      <c r="CB189" s="638"/>
      <c r="CC189" s="638"/>
      <c r="CD189" s="638"/>
      <c r="CE189" s="638"/>
      <c r="CF189" s="638"/>
      <c r="CG189" s="638"/>
      <c r="CH189" s="638"/>
      <c r="CI189" s="638"/>
      <c r="CJ189" s="638"/>
      <c r="CK189" s="638"/>
      <c r="CL189" s="638"/>
      <c r="CM189" s="638"/>
      <c r="CN189" s="638"/>
      <c r="CO189" s="638"/>
      <c r="CP189" s="638"/>
      <c r="CQ189" s="638"/>
      <c r="CR189" s="638"/>
      <c r="CS189" s="638"/>
      <c r="CT189" s="638"/>
    </row>
    <row r="190" spans="1:98" s="424" customFormat="1" outlineLevel="1" x14ac:dyDescent="0.25">
      <c r="A190" s="638"/>
      <c r="B190" s="646"/>
      <c r="C190" s="638"/>
      <c r="D190" s="646"/>
      <c r="E190" s="647"/>
      <c r="F190" s="647"/>
      <c r="G190" s="647"/>
      <c r="H190" s="638"/>
      <c r="I190" s="638"/>
      <c r="J190" s="638"/>
      <c r="K190" s="638"/>
      <c r="L190" s="638"/>
      <c r="M190" s="638"/>
      <c r="N190" s="638"/>
      <c r="O190" s="638"/>
      <c r="P190" s="638"/>
      <c r="Q190" s="638"/>
      <c r="R190" s="638"/>
      <c r="S190" s="638"/>
      <c r="T190" s="638"/>
      <c r="U190" s="638"/>
      <c r="V190" s="638"/>
      <c r="W190" s="638"/>
      <c r="X190" s="638"/>
      <c r="Y190" s="638"/>
      <c r="Z190" s="638"/>
      <c r="AA190" s="638"/>
      <c r="AB190" s="638"/>
      <c r="AC190" s="638"/>
      <c r="AD190" s="638"/>
      <c r="AE190" s="638"/>
      <c r="AF190" s="638"/>
      <c r="AG190" s="638"/>
      <c r="AH190" s="638"/>
      <c r="AI190" s="638"/>
      <c r="AJ190" s="638"/>
      <c r="AK190" s="638"/>
      <c r="AL190" s="638"/>
      <c r="AM190" s="638"/>
      <c r="AN190" s="638"/>
      <c r="AO190" s="638"/>
      <c r="AP190" s="638"/>
      <c r="AQ190" s="638"/>
      <c r="AR190" s="638"/>
      <c r="AS190" s="638"/>
      <c r="AT190" s="638"/>
      <c r="AU190" s="638"/>
      <c r="AV190" s="638"/>
      <c r="AW190" s="638"/>
      <c r="AX190" s="638"/>
      <c r="AY190" s="638"/>
      <c r="AZ190" s="638"/>
      <c r="BA190" s="638"/>
      <c r="BB190" s="638"/>
      <c r="BC190" s="638"/>
      <c r="BD190" s="638"/>
      <c r="BE190" s="638"/>
      <c r="BF190" s="638"/>
      <c r="BG190" s="638"/>
      <c r="BH190" s="638"/>
      <c r="BI190" s="638"/>
      <c r="BJ190" s="638"/>
      <c r="BK190" s="638"/>
      <c r="BL190" s="638"/>
      <c r="BM190" s="638"/>
      <c r="BN190" s="638"/>
      <c r="BO190" s="638"/>
      <c r="BP190" s="638"/>
      <c r="BQ190" s="638"/>
      <c r="BR190" s="638"/>
      <c r="BS190" s="638"/>
      <c r="BT190" s="638"/>
      <c r="BU190" s="638"/>
      <c r="BV190" s="638"/>
      <c r="BW190" s="638"/>
      <c r="BX190" s="638"/>
      <c r="BY190" s="638"/>
      <c r="BZ190" s="638"/>
      <c r="CA190" s="638"/>
      <c r="CB190" s="638"/>
      <c r="CC190" s="638"/>
      <c r="CD190" s="638"/>
      <c r="CE190" s="638"/>
      <c r="CF190" s="638"/>
      <c r="CG190" s="638"/>
      <c r="CH190" s="638"/>
      <c r="CI190" s="638"/>
      <c r="CJ190" s="638"/>
      <c r="CK190" s="638"/>
      <c r="CL190" s="638"/>
      <c r="CM190" s="638"/>
      <c r="CN190" s="638"/>
      <c r="CO190" s="638"/>
      <c r="CP190" s="638"/>
      <c r="CQ190" s="638"/>
      <c r="CR190" s="638"/>
      <c r="CS190" s="638"/>
      <c r="CT190" s="638"/>
    </row>
    <row r="191" spans="1:98" s="424" customFormat="1" outlineLevel="1" x14ac:dyDescent="0.25">
      <c r="A191" s="638"/>
      <c r="B191" s="646"/>
      <c r="C191" s="638"/>
      <c r="D191" s="646"/>
      <c r="E191" s="647"/>
      <c r="F191" s="647"/>
      <c r="G191" s="647"/>
      <c r="H191" s="638"/>
      <c r="I191" s="638"/>
      <c r="J191" s="638"/>
      <c r="K191" s="638"/>
      <c r="L191" s="638"/>
      <c r="M191" s="638"/>
      <c r="N191" s="638"/>
      <c r="O191" s="638"/>
      <c r="P191" s="638"/>
      <c r="Q191" s="638"/>
      <c r="R191" s="638"/>
      <c r="S191" s="638"/>
      <c r="T191" s="638"/>
      <c r="U191" s="638"/>
      <c r="V191" s="638"/>
      <c r="W191" s="638"/>
      <c r="X191" s="638"/>
      <c r="Y191" s="638"/>
      <c r="Z191" s="638"/>
      <c r="AA191" s="638"/>
      <c r="AB191" s="638"/>
      <c r="AC191" s="638"/>
      <c r="AD191" s="638"/>
      <c r="AE191" s="638"/>
      <c r="AF191" s="638"/>
      <c r="AG191" s="638"/>
      <c r="AH191" s="638"/>
      <c r="AI191" s="638"/>
      <c r="AJ191" s="638"/>
      <c r="AK191" s="638"/>
      <c r="AL191" s="638"/>
      <c r="AM191" s="638"/>
      <c r="AN191" s="638"/>
      <c r="AO191" s="638"/>
      <c r="AP191" s="638"/>
      <c r="AQ191" s="638"/>
      <c r="AR191" s="638"/>
      <c r="AS191" s="638"/>
      <c r="AT191" s="638"/>
      <c r="AU191" s="638"/>
      <c r="AV191" s="638"/>
      <c r="AW191" s="638"/>
      <c r="AX191" s="638"/>
      <c r="AY191" s="638"/>
      <c r="AZ191" s="638"/>
      <c r="BA191" s="638"/>
      <c r="BB191" s="638"/>
      <c r="BC191" s="638"/>
      <c r="BD191" s="638"/>
      <c r="BE191" s="638"/>
      <c r="BF191" s="638"/>
      <c r="BG191" s="638"/>
      <c r="BH191" s="638"/>
      <c r="BI191" s="638"/>
      <c r="BJ191" s="638"/>
      <c r="BK191" s="638"/>
      <c r="BL191" s="638"/>
      <c r="BM191" s="638"/>
      <c r="BN191" s="638"/>
      <c r="BO191" s="638"/>
      <c r="BP191" s="638"/>
      <c r="BQ191" s="638"/>
      <c r="BR191" s="638"/>
      <c r="BS191" s="638"/>
      <c r="BT191" s="638"/>
      <c r="BU191" s="638"/>
      <c r="BV191" s="638"/>
      <c r="BW191" s="638"/>
      <c r="BX191" s="638"/>
      <c r="BY191" s="638"/>
      <c r="BZ191" s="638"/>
      <c r="CA191" s="638"/>
      <c r="CB191" s="638"/>
      <c r="CC191" s="638"/>
      <c r="CD191" s="638"/>
      <c r="CE191" s="638"/>
      <c r="CF191" s="638"/>
      <c r="CG191" s="638"/>
      <c r="CH191" s="638"/>
      <c r="CI191" s="638"/>
      <c r="CJ191" s="638"/>
      <c r="CK191" s="638"/>
      <c r="CL191" s="638"/>
      <c r="CM191" s="638"/>
      <c r="CN191" s="638"/>
      <c r="CO191" s="638"/>
      <c r="CP191" s="638"/>
      <c r="CQ191" s="638"/>
      <c r="CR191" s="638"/>
      <c r="CS191" s="638"/>
      <c r="CT191" s="638"/>
    </row>
    <row r="192" spans="1:98" s="435" customFormat="1" outlineLevel="1" x14ac:dyDescent="0.25">
      <c r="A192" s="679"/>
      <c r="B192" s="680"/>
      <c r="C192" s="301" t="s">
        <v>90</v>
      </c>
      <c r="D192" s="680"/>
      <c r="E192" s="681"/>
      <c r="F192" s="681"/>
      <c r="G192" s="681"/>
      <c r="H192" s="679"/>
      <c r="I192" s="679"/>
      <c r="J192" s="679"/>
      <c r="K192" s="679"/>
      <c r="L192" s="679"/>
      <c r="M192" s="679"/>
      <c r="N192" s="679"/>
      <c r="O192" s="679"/>
      <c r="P192" s="679"/>
      <c r="Q192" s="679"/>
      <c r="R192" s="679"/>
      <c r="S192" s="679"/>
      <c r="T192" s="679"/>
      <c r="U192" s="679"/>
      <c r="V192" s="679"/>
      <c r="W192" s="679"/>
      <c r="X192" s="679"/>
      <c r="Y192" s="679"/>
      <c r="Z192" s="679"/>
      <c r="AA192" s="679"/>
      <c r="AB192" s="679"/>
      <c r="AC192" s="679"/>
      <c r="AD192" s="679"/>
      <c r="AE192" s="679"/>
      <c r="AF192" s="679"/>
      <c r="AG192" s="679"/>
      <c r="AH192" s="679"/>
      <c r="AI192" s="679"/>
      <c r="AJ192" s="679"/>
      <c r="AK192" s="679"/>
      <c r="AL192" s="679"/>
      <c r="AM192" s="679"/>
      <c r="AN192" s="679"/>
      <c r="AO192" s="679"/>
      <c r="AP192" s="679"/>
      <c r="AQ192" s="679"/>
      <c r="AR192" s="679"/>
      <c r="AS192" s="679"/>
      <c r="AT192" s="679"/>
      <c r="AU192" s="679"/>
      <c r="AV192" s="679"/>
      <c r="AW192" s="679"/>
      <c r="AX192" s="679"/>
      <c r="AY192" s="679"/>
      <c r="AZ192" s="679"/>
      <c r="BA192" s="679"/>
      <c r="BB192" s="679"/>
      <c r="BC192" s="679"/>
      <c r="BD192" s="679"/>
      <c r="BE192" s="679"/>
      <c r="BF192" s="679"/>
      <c r="BG192" s="679"/>
      <c r="BH192" s="679"/>
      <c r="BI192" s="679"/>
      <c r="BJ192" s="679"/>
      <c r="BK192" s="679"/>
      <c r="BL192" s="679"/>
      <c r="BM192" s="679"/>
      <c r="BN192" s="679"/>
      <c r="BO192" s="679"/>
      <c r="BP192" s="679"/>
      <c r="BQ192" s="679"/>
      <c r="BR192" s="679"/>
      <c r="BS192" s="679"/>
      <c r="BT192" s="679"/>
      <c r="BU192" s="679"/>
      <c r="BV192" s="679"/>
      <c r="BW192" s="679"/>
      <c r="BX192" s="679"/>
      <c r="BY192" s="679"/>
      <c r="BZ192" s="679"/>
      <c r="CA192" s="679"/>
      <c r="CB192" s="679"/>
      <c r="CC192" s="679"/>
      <c r="CD192" s="679"/>
      <c r="CE192" s="679"/>
      <c r="CF192" s="679"/>
      <c r="CG192" s="679"/>
      <c r="CH192" s="679"/>
      <c r="CI192" s="679"/>
      <c r="CJ192" s="679"/>
      <c r="CK192" s="679"/>
      <c r="CL192" s="679"/>
      <c r="CM192" s="679"/>
      <c r="CN192" s="679"/>
      <c r="CO192" s="679"/>
      <c r="CP192" s="679"/>
      <c r="CQ192" s="679"/>
      <c r="CR192" s="679"/>
      <c r="CS192" s="679"/>
      <c r="CT192" s="679"/>
    </row>
    <row r="193" spans="1:12" s="424" customFormat="1" ht="15.75" outlineLevel="1" thickBot="1" x14ac:dyDescent="0.3">
      <c r="A193" s="638"/>
      <c r="B193" s="646"/>
      <c r="C193" s="638"/>
      <c r="D193" s="647"/>
      <c r="E193" s="647"/>
      <c r="F193" s="638"/>
      <c r="G193" s="638"/>
      <c r="H193" s="638"/>
      <c r="I193" s="638"/>
      <c r="J193" s="638"/>
      <c r="K193" s="638"/>
      <c r="L193" s="638"/>
    </row>
    <row r="194" spans="1:12" s="424" customFormat="1" ht="35.450000000000003" customHeight="1" outlineLevel="1" x14ac:dyDescent="0.25">
      <c r="A194" s="638"/>
      <c r="B194" s="646"/>
      <c r="C194" s="596" t="str">
        <f>Method1</f>
        <v>Method 1: when comparables are private companies - multiples based on transactions</v>
      </c>
      <c r="D194" s="518"/>
      <c r="E194" s="566" t="s">
        <v>91</v>
      </c>
      <c r="F194" s="566" t="s">
        <v>92</v>
      </c>
      <c r="G194" s="566" t="s">
        <v>93</v>
      </c>
      <c r="H194" s="465"/>
      <c r="I194" s="638"/>
      <c r="J194" s="638"/>
      <c r="K194" s="638"/>
      <c r="L194" s="638"/>
    </row>
    <row r="195" spans="1:12" s="424" customFormat="1" ht="35.450000000000003" customHeight="1" outlineLevel="1" x14ac:dyDescent="0.25">
      <c r="A195" s="638"/>
      <c r="B195" s="646"/>
      <c r="C195" s="466"/>
      <c r="D195" s="441"/>
      <c r="E195" s="567" t="s">
        <v>94</v>
      </c>
      <c r="F195" s="567" t="s">
        <v>95</v>
      </c>
      <c r="G195" s="567" t="s">
        <v>96</v>
      </c>
      <c r="H195" s="467"/>
      <c r="I195" s="638"/>
      <c r="J195" s="638"/>
      <c r="K195" s="638"/>
      <c r="L195" s="638"/>
    </row>
    <row r="196" spans="1:12" s="424" customFormat="1" outlineLevel="1" x14ac:dyDescent="0.25">
      <c r="A196" s="638"/>
      <c r="B196" s="646"/>
      <c r="C196" s="468" t="s">
        <v>97</v>
      </c>
      <c r="D196" s="519"/>
      <c r="E196" s="469">
        <v>44321</v>
      </c>
      <c r="F196" s="514">
        <v>43994</v>
      </c>
      <c r="G196" s="469">
        <v>44129</v>
      </c>
      <c r="H196" s="470"/>
      <c r="I196" s="638"/>
      <c r="J196" s="638"/>
      <c r="K196" s="638"/>
      <c r="L196" s="638"/>
    </row>
    <row r="197" spans="1:12" s="424" customFormat="1" outlineLevel="1" x14ac:dyDescent="0.25">
      <c r="A197" s="638"/>
      <c r="B197" s="646"/>
      <c r="C197" s="471" t="s">
        <v>98</v>
      </c>
      <c r="D197" s="436"/>
      <c r="E197" s="472">
        <v>105000</v>
      </c>
      <c r="F197" s="472">
        <v>285000</v>
      </c>
      <c r="G197" s="472">
        <v>762000</v>
      </c>
      <c r="H197" s="470"/>
      <c r="I197" s="638"/>
      <c r="J197" s="638"/>
      <c r="K197" s="638"/>
      <c r="L197" s="638"/>
    </row>
    <row r="198" spans="1:12" s="424" customFormat="1" outlineLevel="1" x14ac:dyDescent="0.25">
      <c r="A198" s="638"/>
      <c r="B198" s="646"/>
      <c r="C198" s="471" t="s">
        <v>99</v>
      </c>
      <c r="D198" s="436"/>
      <c r="E198" s="472">
        <v>65000</v>
      </c>
      <c r="F198" s="472">
        <v>80000</v>
      </c>
      <c r="G198" s="472">
        <v>145000</v>
      </c>
      <c r="H198" s="470"/>
      <c r="I198" s="638"/>
      <c r="J198" s="638"/>
      <c r="K198" s="682"/>
      <c r="L198" s="638"/>
    </row>
    <row r="199" spans="1:12" s="424" customFormat="1" outlineLevel="1" x14ac:dyDescent="0.25">
      <c r="A199" s="638"/>
      <c r="B199" s="646"/>
      <c r="C199" s="471" t="s">
        <v>100</v>
      </c>
      <c r="D199" s="436"/>
      <c r="E199" s="474">
        <v>14200</v>
      </c>
      <c r="F199" s="474">
        <v>27400</v>
      </c>
      <c r="G199" s="474">
        <v>63400</v>
      </c>
      <c r="H199" s="470"/>
      <c r="I199" s="682"/>
      <c r="J199" s="638"/>
      <c r="K199" s="682"/>
      <c r="L199" s="638"/>
    </row>
    <row r="200" spans="1:12" s="424" customFormat="1" outlineLevel="1" x14ac:dyDescent="0.25">
      <c r="A200" s="638"/>
      <c r="B200" s="646"/>
      <c r="C200" s="471" t="s">
        <v>101</v>
      </c>
      <c r="D200" s="436"/>
      <c r="E200" s="474">
        <v>8100</v>
      </c>
      <c r="F200" s="474">
        <v>23000</v>
      </c>
      <c r="G200" s="474">
        <v>53000</v>
      </c>
      <c r="H200" s="470"/>
      <c r="I200" s="682"/>
      <c r="J200" s="638"/>
      <c r="K200" s="682"/>
      <c r="L200" s="638"/>
    </row>
    <row r="201" spans="1:12" s="424" customFormat="1" outlineLevel="1" x14ac:dyDescent="0.25">
      <c r="A201" s="638"/>
      <c r="B201" s="646"/>
      <c r="C201" s="471" t="s">
        <v>102</v>
      </c>
      <c r="D201" s="436"/>
      <c r="E201" s="472">
        <v>5200</v>
      </c>
      <c r="F201" s="472">
        <v>12800</v>
      </c>
      <c r="G201" s="472">
        <v>52000</v>
      </c>
      <c r="H201" s="473"/>
      <c r="I201" s="682"/>
      <c r="J201" s="638"/>
      <c r="K201" s="638"/>
      <c r="L201" s="638"/>
    </row>
    <row r="202" spans="1:12" s="424" customFormat="1" outlineLevel="1" x14ac:dyDescent="0.25">
      <c r="A202" s="638"/>
      <c r="B202" s="646"/>
      <c r="C202" s="471" t="s">
        <v>103</v>
      </c>
      <c r="D202" s="436"/>
      <c r="E202" s="472">
        <v>20000</v>
      </c>
      <c r="F202" s="472">
        <v>90000</v>
      </c>
      <c r="G202" s="472">
        <v>105000</v>
      </c>
      <c r="H202" s="473"/>
      <c r="I202" s="638"/>
      <c r="J202" s="638"/>
      <c r="K202" s="638"/>
      <c r="L202" s="638"/>
    </row>
    <row r="203" spans="1:12" s="424" customFormat="1" outlineLevel="1" x14ac:dyDescent="0.25">
      <c r="A203" s="638"/>
      <c r="B203" s="646"/>
      <c r="C203" s="471" t="s">
        <v>104</v>
      </c>
      <c r="D203" s="436"/>
      <c r="E203" s="472">
        <v>32000</v>
      </c>
      <c r="F203" s="472">
        <v>62300</v>
      </c>
      <c r="G203" s="472">
        <v>280000</v>
      </c>
      <c r="H203" s="473"/>
      <c r="I203" s="638"/>
      <c r="J203" s="638"/>
      <c r="K203" s="638"/>
      <c r="L203" s="638"/>
    </row>
    <row r="204" spans="1:12" s="424" customFormat="1" ht="15.75" outlineLevel="1" thickBot="1" x14ac:dyDescent="0.3">
      <c r="A204" s="638"/>
      <c r="B204" s="646"/>
      <c r="C204" s="475" t="s">
        <v>105</v>
      </c>
      <c r="D204" s="520"/>
      <c r="E204" s="476">
        <v>2500</v>
      </c>
      <c r="F204" s="476">
        <v>1000</v>
      </c>
      <c r="G204" s="476">
        <v>5000</v>
      </c>
      <c r="H204" s="477"/>
      <c r="I204" s="638"/>
      <c r="J204" s="638"/>
      <c r="K204" s="638"/>
      <c r="L204" s="638"/>
    </row>
    <row r="205" spans="1:12" s="424" customFormat="1" outlineLevel="1" x14ac:dyDescent="0.25">
      <c r="A205" s="638"/>
      <c r="B205" s="646"/>
      <c r="C205" s="638"/>
      <c r="D205" s="647"/>
      <c r="E205" s="647"/>
      <c r="F205" s="638"/>
      <c r="G205" s="638"/>
      <c r="H205" s="638"/>
      <c r="I205" s="638"/>
      <c r="J205" s="638"/>
      <c r="K205" s="638"/>
      <c r="L205" s="638"/>
    </row>
    <row r="206" spans="1:12" s="424" customFormat="1" outlineLevel="1" x14ac:dyDescent="0.25">
      <c r="A206" s="638"/>
      <c r="B206" s="646"/>
      <c r="C206" s="638"/>
      <c r="D206" s="647"/>
      <c r="E206" s="647"/>
      <c r="F206" s="638"/>
      <c r="G206" s="638"/>
      <c r="H206" s="638"/>
      <c r="I206" s="638"/>
      <c r="J206" s="638"/>
      <c r="K206" s="638"/>
      <c r="L206" s="638"/>
    </row>
    <row r="207" spans="1:12" s="424" customFormat="1" ht="15.75" outlineLevel="1" thickBot="1" x14ac:dyDescent="0.3">
      <c r="A207" s="638"/>
      <c r="B207" s="646"/>
      <c r="C207" s="638"/>
      <c r="D207" s="647"/>
      <c r="E207" s="647"/>
      <c r="F207" s="638"/>
      <c r="G207" s="638"/>
      <c r="H207" s="638"/>
      <c r="I207" s="638"/>
      <c r="J207" s="638"/>
      <c r="K207" s="638"/>
      <c r="L207" s="638"/>
    </row>
    <row r="208" spans="1:12" s="424" customFormat="1" ht="45" outlineLevel="1" x14ac:dyDescent="0.25">
      <c r="A208" s="638"/>
      <c r="B208" s="646"/>
      <c r="C208" s="609" t="str">
        <f>Multiples2</f>
        <v>Method 2: When comparables  trade on a stock exchange - multiples based on stock prices</v>
      </c>
      <c r="D208" s="683"/>
      <c r="E208" s="610" t="s">
        <v>106</v>
      </c>
      <c r="F208" s="610" t="s">
        <v>107</v>
      </c>
      <c r="G208" s="610" t="s">
        <v>108</v>
      </c>
      <c r="H208" s="684"/>
      <c r="I208" s="638"/>
      <c r="J208" s="638"/>
      <c r="K208" s="638"/>
      <c r="L208" s="638"/>
    </row>
    <row r="209" spans="1:11" s="424" customFormat="1" outlineLevel="1" x14ac:dyDescent="0.25">
      <c r="A209" s="638"/>
      <c r="B209" s="646"/>
      <c r="C209" s="611" t="s">
        <v>109</v>
      </c>
      <c r="D209" s="638"/>
      <c r="E209" s="603">
        <v>9</v>
      </c>
      <c r="F209" s="604">
        <v>18</v>
      </c>
      <c r="G209" s="603">
        <v>24</v>
      </c>
      <c r="H209" s="685"/>
      <c r="I209" s="638"/>
      <c r="J209" s="686"/>
      <c r="K209" s="638"/>
    </row>
    <row r="210" spans="1:11" s="424" customFormat="1" outlineLevel="1" x14ac:dyDescent="0.25">
      <c r="A210" s="638"/>
      <c r="B210" s="646"/>
      <c r="C210" s="612" t="s">
        <v>110</v>
      </c>
      <c r="D210" s="638"/>
      <c r="E210" s="605">
        <v>350</v>
      </c>
      <c r="F210" s="606">
        <v>300</v>
      </c>
      <c r="G210" s="605">
        <v>350</v>
      </c>
      <c r="H210" s="685"/>
      <c r="I210" s="638"/>
      <c r="J210" s="686"/>
      <c r="K210" s="638"/>
    </row>
    <row r="211" spans="1:11" s="424" customFormat="1" outlineLevel="1" x14ac:dyDescent="0.25">
      <c r="A211" s="638"/>
      <c r="B211" s="646"/>
      <c r="C211" s="597" t="s">
        <v>111</v>
      </c>
      <c r="D211" s="647"/>
      <c r="E211" s="666">
        <v>110</v>
      </c>
      <c r="F211" s="666">
        <v>210</v>
      </c>
      <c r="G211" s="666">
        <v>290</v>
      </c>
      <c r="H211" s="685"/>
      <c r="I211" s="638"/>
      <c r="J211" s="686"/>
      <c r="K211" s="638"/>
    </row>
    <row r="212" spans="1:11" s="424" customFormat="1" outlineLevel="1" x14ac:dyDescent="0.25">
      <c r="A212" s="638"/>
      <c r="B212" s="646"/>
      <c r="C212" s="597" t="s">
        <v>112</v>
      </c>
      <c r="D212" s="647"/>
      <c r="E212" s="666">
        <v>350</v>
      </c>
      <c r="F212" s="666">
        <v>450</v>
      </c>
      <c r="G212" s="666">
        <v>550</v>
      </c>
      <c r="H212" s="685"/>
      <c r="I212" s="638"/>
      <c r="J212" s="686"/>
      <c r="K212" s="638"/>
    </row>
    <row r="213" spans="1:11" s="424" customFormat="1" outlineLevel="1" x14ac:dyDescent="0.25">
      <c r="A213" s="638"/>
      <c r="B213" s="646"/>
      <c r="C213" s="613" t="s">
        <v>113</v>
      </c>
      <c r="D213" s="638"/>
      <c r="E213" s="605">
        <v>700</v>
      </c>
      <c r="F213" s="606">
        <v>1100</v>
      </c>
      <c r="G213" s="605">
        <v>1300</v>
      </c>
      <c r="H213" s="685"/>
      <c r="I213" s="638"/>
      <c r="J213" s="686"/>
      <c r="K213" s="638"/>
    </row>
    <row r="214" spans="1:11" s="424" customFormat="1" outlineLevel="1" x14ac:dyDescent="0.25">
      <c r="A214" s="638"/>
      <c r="B214" s="646"/>
      <c r="C214" s="597" t="s">
        <v>114</v>
      </c>
      <c r="D214" s="647"/>
      <c r="E214" s="651">
        <v>230</v>
      </c>
      <c r="F214" s="651">
        <v>490</v>
      </c>
      <c r="G214" s="651">
        <v>600</v>
      </c>
      <c r="H214" s="685"/>
      <c r="I214" s="638"/>
      <c r="J214" s="686"/>
      <c r="K214" s="638"/>
    </row>
    <row r="215" spans="1:11" s="424" customFormat="1" outlineLevel="1" x14ac:dyDescent="0.25">
      <c r="A215" s="638"/>
      <c r="B215" s="646"/>
      <c r="C215" s="597" t="s">
        <v>115</v>
      </c>
      <c r="D215" s="647"/>
      <c r="E215" s="651">
        <v>155</v>
      </c>
      <c r="F215" s="651">
        <v>350</v>
      </c>
      <c r="G215" s="651">
        <v>450</v>
      </c>
      <c r="H215" s="685"/>
      <c r="I215" s="638"/>
      <c r="J215" s="638"/>
      <c r="K215" s="638"/>
    </row>
    <row r="216" spans="1:11" s="424" customFormat="1" ht="15.75" outlineLevel="1" thickBot="1" x14ac:dyDescent="0.3">
      <c r="A216" s="638"/>
      <c r="B216" s="646"/>
      <c r="C216" s="614" t="s">
        <v>116</v>
      </c>
      <c r="D216" s="687"/>
      <c r="E216" s="607">
        <v>87</v>
      </c>
      <c r="F216" s="608">
        <v>135</v>
      </c>
      <c r="G216" s="607">
        <v>345</v>
      </c>
      <c r="H216" s="688"/>
      <c r="I216" s="638"/>
      <c r="J216" s="638"/>
      <c r="K216" s="638"/>
    </row>
    <row r="217" spans="1:11" s="424" customFormat="1" outlineLevel="1" x14ac:dyDescent="0.25">
      <c r="A217" s="638"/>
      <c r="B217" s="646"/>
      <c r="C217" s="638"/>
      <c r="D217" s="647"/>
      <c r="E217" s="647"/>
      <c r="F217" s="638"/>
      <c r="G217" s="638"/>
      <c r="H217" s="638"/>
      <c r="I217" s="638"/>
      <c r="J217" s="638"/>
      <c r="K217" s="638"/>
    </row>
    <row r="218" spans="1:11" s="424" customFormat="1" outlineLevel="1" x14ac:dyDescent="0.25">
      <c r="A218" s="638"/>
      <c r="B218" s="646"/>
      <c r="C218" s="638"/>
      <c r="D218" s="647"/>
      <c r="E218" s="647"/>
      <c r="F218" s="647"/>
      <c r="G218" s="647"/>
      <c r="H218" s="638"/>
      <c r="I218" s="638"/>
      <c r="J218" s="638"/>
      <c r="K218" s="638"/>
    </row>
    <row r="219" spans="1:11" s="424" customFormat="1" x14ac:dyDescent="0.25">
      <c r="A219" s="638"/>
      <c r="B219" s="646"/>
      <c r="C219" s="638"/>
      <c r="D219" s="647"/>
      <c r="E219" s="647"/>
      <c r="F219" s="647"/>
      <c r="G219" s="647"/>
      <c r="H219" s="638"/>
      <c r="I219" s="638"/>
      <c r="J219" s="638"/>
      <c r="K219" s="638"/>
    </row>
    <row r="220" spans="1:11" s="424" customFormat="1" x14ac:dyDescent="0.25">
      <c r="A220" s="638"/>
      <c r="B220" s="646"/>
      <c r="C220" s="638"/>
      <c r="D220" s="647"/>
      <c r="E220" s="647"/>
      <c r="F220" s="638"/>
      <c r="G220" s="638"/>
      <c r="H220" s="638"/>
      <c r="I220" s="638"/>
      <c r="J220" s="638"/>
      <c r="K220" s="638"/>
    </row>
    <row r="221" spans="1:11" s="424" customFormat="1" x14ac:dyDescent="0.25">
      <c r="A221" s="638"/>
      <c r="B221" s="646"/>
      <c r="C221" s="638"/>
      <c r="D221" s="647"/>
      <c r="E221" s="647"/>
      <c r="F221" s="638"/>
      <c r="G221" s="638"/>
      <c r="H221" s="638"/>
      <c r="I221" s="638"/>
      <c r="J221" s="638"/>
      <c r="K221" s="638"/>
    </row>
    <row r="222" spans="1:11" s="424" customFormat="1" x14ac:dyDescent="0.25">
      <c r="A222" s="638"/>
      <c r="B222" s="646"/>
      <c r="C222" s="638"/>
      <c r="D222" s="647"/>
      <c r="E222" s="647"/>
      <c r="F222" s="638"/>
      <c r="G222" s="638"/>
      <c r="H222" s="638"/>
      <c r="I222" s="638"/>
      <c r="J222" s="638"/>
      <c r="K222" s="638"/>
    </row>
    <row r="223" spans="1:11" s="424" customFormat="1" x14ac:dyDescent="0.25">
      <c r="A223" s="638"/>
      <c r="B223" s="646"/>
      <c r="C223" s="638"/>
      <c r="D223" s="647"/>
      <c r="E223" s="647"/>
      <c r="F223" s="638"/>
      <c r="G223" s="638"/>
      <c r="H223" s="638"/>
      <c r="I223" s="638"/>
      <c r="J223" s="638"/>
      <c r="K223" s="638"/>
    </row>
    <row r="224" spans="1:11" s="424" customFormat="1" x14ac:dyDescent="0.25">
      <c r="A224" s="638"/>
      <c r="B224" s="646"/>
      <c r="C224" s="638"/>
      <c r="D224" s="647"/>
      <c r="E224" s="647"/>
      <c r="F224" s="638"/>
      <c r="G224" s="638"/>
      <c r="H224" s="638"/>
      <c r="I224" s="638"/>
      <c r="J224" s="638"/>
      <c r="K224" s="638"/>
    </row>
    <row r="225" spans="1:11" s="424" customFormat="1" x14ac:dyDescent="0.25">
      <c r="A225" s="638"/>
      <c r="B225" s="646"/>
      <c r="C225" s="638"/>
      <c r="D225" s="647"/>
      <c r="E225" s="647"/>
      <c r="F225" s="638"/>
      <c r="G225" s="638"/>
      <c r="H225" s="638"/>
      <c r="I225" s="638"/>
      <c r="J225" s="638"/>
      <c r="K225" s="638"/>
    </row>
    <row r="226" spans="1:11" s="424" customFormat="1" x14ac:dyDescent="0.25">
      <c r="A226" s="638"/>
      <c r="B226" s="646"/>
      <c r="C226" s="638"/>
      <c r="D226" s="647"/>
      <c r="E226" s="647"/>
      <c r="F226" s="638"/>
      <c r="G226" s="638"/>
      <c r="H226" s="638"/>
      <c r="I226" s="638"/>
      <c r="J226" s="638"/>
      <c r="K226" s="638"/>
    </row>
    <row r="227" spans="1:11" s="424" customFormat="1" x14ac:dyDescent="0.25">
      <c r="A227" s="638"/>
      <c r="B227" s="646"/>
      <c r="C227" s="638"/>
      <c r="D227" s="647"/>
      <c r="E227" s="647"/>
      <c r="F227" s="638"/>
      <c r="G227" s="638"/>
      <c r="H227" s="638"/>
      <c r="I227" s="638"/>
      <c r="J227" s="638"/>
      <c r="K227" s="638"/>
    </row>
    <row r="228" spans="1:11" s="424" customFormat="1" x14ac:dyDescent="0.25">
      <c r="A228" s="638"/>
      <c r="B228" s="646"/>
      <c r="C228" s="638"/>
      <c r="D228" s="647"/>
      <c r="E228" s="647"/>
      <c r="F228" s="638"/>
      <c r="G228" s="638"/>
      <c r="H228" s="638"/>
      <c r="I228" s="638"/>
      <c r="J228" s="638"/>
      <c r="K228" s="638"/>
    </row>
    <row r="229" spans="1:11" s="424" customFormat="1" x14ac:dyDescent="0.25">
      <c r="A229" s="638"/>
      <c r="B229" s="646"/>
      <c r="C229" s="638"/>
      <c r="D229" s="647"/>
      <c r="E229" s="647"/>
      <c r="F229" s="638"/>
      <c r="G229" s="638"/>
      <c r="H229" s="638"/>
      <c r="I229" s="638"/>
      <c r="J229" s="638"/>
      <c r="K229" s="638"/>
    </row>
    <row r="230" spans="1:11" s="424" customFormat="1" x14ac:dyDescent="0.25">
      <c r="A230" s="638"/>
      <c r="B230" s="646"/>
      <c r="C230" s="638"/>
      <c r="D230" s="647"/>
      <c r="E230" s="647"/>
      <c r="F230" s="638"/>
      <c r="G230" s="638"/>
      <c r="H230" s="638"/>
      <c r="I230" s="638"/>
      <c r="J230" s="638"/>
      <c r="K230" s="638"/>
    </row>
    <row r="231" spans="1:11" s="424" customFormat="1" x14ac:dyDescent="0.25">
      <c r="A231" s="638"/>
      <c r="B231" s="646"/>
      <c r="C231" s="638"/>
      <c r="D231" s="647"/>
      <c r="E231" s="647"/>
      <c r="F231" s="638"/>
      <c r="G231" s="638"/>
      <c r="H231" s="638"/>
      <c r="I231" s="638"/>
      <c r="J231" s="638"/>
      <c r="K231" s="638"/>
    </row>
    <row r="232" spans="1:11" s="424" customFormat="1" x14ac:dyDescent="0.25">
      <c r="A232" s="638"/>
      <c r="B232" s="646"/>
      <c r="C232" s="638"/>
      <c r="D232" s="647"/>
      <c r="E232" s="647"/>
      <c r="F232" s="638"/>
      <c r="G232" s="638"/>
      <c r="H232" s="638"/>
      <c r="I232" s="638"/>
      <c r="J232" s="638"/>
      <c r="K232" s="638"/>
    </row>
    <row r="233" spans="1:11" s="424" customFormat="1" x14ac:dyDescent="0.25">
      <c r="A233" s="638"/>
      <c r="B233" s="646"/>
      <c r="C233" s="638"/>
      <c r="D233" s="647"/>
      <c r="E233" s="647"/>
      <c r="F233" s="638"/>
      <c r="G233" s="638"/>
      <c r="H233" s="638"/>
      <c r="I233" s="638"/>
      <c r="J233" s="638"/>
      <c r="K233" s="638"/>
    </row>
    <row r="234" spans="1:11" s="424" customFormat="1" x14ac:dyDescent="0.25">
      <c r="A234" s="638"/>
      <c r="B234" s="646"/>
      <c r="C234" s="638"/>
      <c r="D234" s="647"/>
      <c r="E234" s="647"/>
      <c r="F234" s="638"/>
      <c r="G234" s="638"/>
      <c r="H234" s="638"/>
      <c r="I234" s="638"/>
      <c r="J234" s="638"/>
      <c r="K234" s="638"/>
    </row>
    <row r="235" spans="1:11" s="424" customFormat="1" x14ac:dyDescent="0.25">
      <c r="A235" s="638"/>
      <c r="B235" s="646"/>
      <c r="C235" s="638"/>
      <c r="D235" s="647"/>
      <c r="E235" s="647"/>
      <c r="F235" s="638"/>
      <c r="G235" s="638"/>
      <c r="H235" s="638"/>
      <c r="I235" s="638"/>
      <c r="J235" s="638"/>
      <c r="K235" s="638"/>
    </row>
    <row r="236" spans="1:11" s="424" customFormat="1" x14ac:dyDescent="0.25">
      <c r="A236" s="638"/>
      <c r="B236" s="646"/>
      <c r="C236" s="638"/>
      <c r="D236" s="647"/>
      <c r="E236" s="647"/>
      <c r="F236" s="638"/>
      <c r="G236" s="638"/>
      <c r="H236" s="638"/>
      <c r="I236" s="638"/>
      <c r="J236" s="638"/>
      <c r="K236" s="638"/>
    </row>
    <row r="237" spans="1:11" s="424" customFormat="1" x14ac:dyDescent="0.25">
      <c r="A237" s="638"/>
      <c r="B237" s="646"/>
      <c r="C237" s="638"/>
      <c r="D237" s="647"/>
      <c r="E237" s="647"/>
      <c r="F237" s="638"/>
      <c r="G237" s="638"/>
      <c r="H237" s="638"/>
      <c r="I237" s="638"/>
      <c r="J237" s="638"/>
      <c r="K237" s="638"/>
    </row>
    <row r="238" spans="1:11" s="424" customFormat="1" x14ac:dyDescent="0.25">
      <c r="A238" s="638"/>
      <c r="B238" s="646"/>
      <c r="C238" s="638"/>
      <c r="D238" s="647"/>
      <c r="E238" s="647"/>
      <c r="F238" s="638"/>
      <c r="G238" s="638"/>
      <c r="H238" s="638"/>
      <c r="I238" s="638"/>
      <c r="J238" s="638"/>
      <c r="K238" s="638"/>
    </row>
    <row r="239" spans="1:11" s="424" customFormat="1" x14ac:dyDescent="0.25">
      <c r="A239" s="638"/>
      <c r="B239" s="646"/>
      <c r="C239" s="638"/>
      <c r="D239" s="647"/>
      <c r="E239" s="647"/>
      <c r="F239" s="638"/>
      <c r="G239" s="638"/>
      <c r="H239" s="638"/>
      <c r="I239" s="638"/>
      <c r="J239" s="638"/>
      <c r="K239" s="638"/>
    </row>
    <row r="240" spans="1:11" s="424" customFormat="1" x14ac:dyDescent="0.25">
      <c r="A240" s="638"/>
      <c r="B240" s="646"/>
      <c r="C240" s="638"/>
      <c r="D240" s="647"/>
      <c r="E240" s="647"/>
      <c r="F240" s="638"/>
      <c r="G240" s="638"/>
      <c r="H240" s="638"/>
      <c r="I240" s="638"/>
      <c r="J240" s="638"/>
      <c r="K240" s="638"/>
    </row>
    <row r="241" spans="1:5" s="424" customFormat="1" x14ac:dyDescent="0.25">
      <c r="A241" s="638"/>
      <c r="B241" s="646"/>
      <c r="C241" s="638"/>
      <c r="D241" s="647"/>
      <c r="E241" s="647"/>
    </row>
    <row r="242" spans="1:5" s="424" customFormat="1" x14ac:dyDescent="0.25">
      <c r="A242" s="638"/>
      <c r="B242" s="646"/>
      <c r="C242" s="638"/>
      <c r="D242" s="647"/>
      <c r="E242" s="647"/>
    </row>
    <row r="243" spans="1:5" s="424" customFormat="1" x14ac:dyDescent="0.25">
      <c r="A243" s="638"/>
      <c r="B243" s="646"/>
      <c r="C243" s="638"/>
      <c r="D243" s="647"/>
      <c r="E243" s="647"/>
    </row>
    <row r="244" spans="1:5" s="424" customFormat="1" x14ac:dyDescent="0.25">
      <c r="A244" s="638"/>
      <c r="B244" s="646"/>
      <c r="C244" s="638"/>
      <c r="D244" s="647"/>
      <c r="E244" s="647"/>
    </row>
    <row r="245" spans="1:5" s="424" customFormat="1" x14ac:dyDescent="0.25">
      <c r="A245" s="638"/>
      <c r="B245" s="646"/>
      <c r="C245" s="638"/>
      <c r="D245" s="647"/>
      <c r="E245" s="647"/>
    </row>
    <row r="246" spans="1:5" s="424" customFormat="1" x14ac:dyDescent="0.25">
      <c r="A246" s="638"/>
      <c r="B246" s="646"/>
      <c r="C246" s="638"/>
      <c r="D246" s="647"/>
      <c r="E246" s="647"/>
    </row>
    <row r="247" spans="1:5" s="424" customFormat="1" x14ac:dyDescent="0.25">
      <c r="A247" s="638"/>
      <c r="B247" s="646"/>
      <c r="C247" s="638"/>
      <c r="D247" s="647"/>
      <c r="E247" s="647"/>
    </row>
    <row r="248" spans="1:5" s="424" customFormat="1" x14ac:dyDescent="0.25">
      <c r="A248" s="638"/>
      <c r="B248" s="646"/>
      <c r="C248" s="638"/>
      <c r="D248" s="647"/>
      <c r="E248" s="647"/>
    </row>
    <row r="249" spans="1:5" s="424" customFormat="1" x14ac:dyDescent="0.25">
      <c r="A249" s="638"/>
      <c r="B249" s="646"/>
      <c r="C249" s="638"/>
      <c r="D249" s="647"/>
      <c r="E249" s="647"/>
    </row>
    <row r="250" spans="1:5" s="424" customFormat="1" x14ac:dyDescent="0.25">
      <c r="A250" s="638"/>
      <c r="B250" s="646"/>
      <c r="C250" s="638"/>
      <c r="D250" s="647"/>
      <c r="E250" s="647"/>
    </row>
    <row r="251" spans="1:5" s="424" customFormat="1" x14ac:dyDescent="0.25">
      <c r="A251" s="638"/>
      <c r="B251" s="646"/>
      <c r="C251" s="638"/>
      <c r="D251" s="647"/>
      <c r="E251" s="647"/>
    </row>
    <row r="252" spans="1:5" s="424" customFormat="1" x14ac:dyDescent="0.25">
      <c r="A252" s="638"/>
      <c r="B252" s="646"/>
      <c r="C252" s="638"/>
      <c r="D252" s="647"/>
      <c r="E252" s="647"/>
    </row>
    <row r="253" spans="1:5" s="424" customFormat="1" x14ac:dyDescent="0.25">
      <c r="A253" s="638"/>
      <c r="B253" s="646"/>
      <c r="C253" s="638"/>
      <c r="D253" s="647"/>
      <c r="E253" s="647"/>
    </row>
    <row r="254" spans="1:5" s="424" customFormat="1" x14ac:dyDescent="0.25">
      <c r="A254" s="638"/>
      <c r="B254" s="646"/>
      <c r="C254" s="638"/>
      <c r="D254" s="647"/>
      <c r="E254" s="647"/>
    </row>
    <row r="255" spans="1:5" s="424" customFormat="1" x14ac:dyDescent="0.25">
      <c r="A255" s="638"/>
      <c r="B255" s="646"/>
      <c r="C255" s="638"/>
      <c r="D255" s="647"/>
      <c r="E255" s="647"/>
    </row>
    <row r="256" spans="1:5" s="424" customFormat="1" x14ac:dyDescent="0.25">
      <c r="A256" s="638"/>
      <c r="B256" s="646"/>
      <c r="C256" s="638"/>
      <c r="D256" s="647"/>
      <c r="E256" s="647"/>
    </row>
    <row r="257" spans="1:5" s="424" customFormat="1" x14ac:dyDescent="0.25">
      <c r="A257" s="638"/>
      <c r="B257" s="646"/>
      <c r="C257" s="638"/>
      <c r="D257" s="647"/>
      <c r="E257" s="647"/>
    </row>
    <row r="258" spans="1:5" s="424" customFormat="1" x14ac:dyDescent="0.25">
      <c r="A258" s="638"/>
      <c r="B258" s="646"/>
      <c r="C258" s="638"/>
      <c r="D258" s="647"/>
      <c r="E258" s="647"/>
    </row>
    <row r="259" spans="1:5" s="424" customFormat="1" x14ac:dyDescent="0.25">
      <c r="A259" s="638"/>
      <c r="B259" s="646"/>
      <c r="C259" s="638"/>
      <c r="D259" s="647"/>
      <c r="E259" s="647"/>
    </row>
    <row r="260" spans="1:5" s="424" customFormat="1" x14ac:dyDescent="0.25">
      <c r="A260" s="638"/>
      <c r="B260" s="646"/>
      <c r="C260" s="638"/>
      <c r="D260" s="647"/>
      <c r="E260" s="647"/>
    </row>
    <row r="261" spans="1:5" s="424" customFormat="1" x14ac:dyDescent="0.25">
      <c r="A261" s="638"/>
      <c r="B261" s="646"/>
      <c r="C261" s="638"/>
      <c r="D261" s="647"/>
      <c r="E261" s="647"/>
    </row>
    <row r="262" spans="1:5" s="424" customFormat="1" x14ac:dyDescent="0.25">
      <c r="A262" s="638"/>
      <c r="B262" s="646"/>
      <c r="C262" s="638"/>
      <c r="D262" s="647"/>
      <c r="E262" s="647"/>
    </row>
    <row r="263" spans="1:5" s="424" customFormat="1" x14ac:dyDescent="0.25">
      <c r="A263" s="638"/>
      <c r="B263" s="646"/>
      <c r="C263" s="638"/>
      <c r="D263" s="647"/>
      <c r="E263" s="647"/>
    </row>
    <row r="264" spans="1:5" s="424" customFormat="1" x14ac:dyDescent="0.25">
      <c r="A264" s="638"/>
      <c r="B264" s="646"/>
      <c r="C264" s="638"/>
      <c r="D264" s="647"/>
      <c r="E264" s="647"/>
    </row>
    <row r="265" spans="1:5" s="424" customFormat="1" x14ac:dyDescent="0.25">
      <c r="A265" s="638"/>
      <c r="B265" s="646"/>
      <c r="C265" s="638"/>
      <c r="D265" s="647"/>
      <c r="E265" s="647"/>
    </row>
    <row r="266" spans="1:5" s="424" customFormat="1" x14ac:dyDescent="0.25">
      <c r="A266" s="638"/>
      <c r="B266" s="646"/>
      <c r="C266" s="638"/>
      <c r="D266" s="647"/>
      <c r="E266" s="647"/>
    </row>
    <row r="267" spans="1:5" s="424" customFormat="1" x14ac:dyDescent="0.25">
      <c r="A267" s="638"/>
      <c r="B267" s="646"/>
      <c r="C267" s="638"/>
      <c r="D267" s="647"/>
      <c r="E267" s="647"/>
    </row>
    <row r="268" spans="1:5" s="424" customFormat="1" x14ac:dyDescent="0.25">
      <c r="A268" s="638"/>
      <c r="B268" s="646"/>
      <c r="C268" s="638"/>
      <c r="D268" s="647"/>
      <c r="E268" s="647"/>
    </row>
    <row r="269" spans="1:5" s="424" customFormat="1" x14ac:dyDescent="0.25">
      <c r="A269" s="638"/>
      <c r="B269" s="646"/>
      <c r="C269" s="638"/>
      <c r="D269" s="647"/>
      <c r="E269" s="647"/>
    </row>
    <row r="270" spans="1:5" s="424" customFormat="1" x14ac:dyDescent="0.25">
      <c r="A270" s="638"/>
      <c r="B270" s="646"/>
      <c r="C270" s="638"/>
      <c r="D270" s="647"/>
      <c r="E270" s="647"/>
    </row>
    <row r="271" spans="1:5" s="424" customFormat="1" x14ac:dyDescent="0.25">
      <c r="A271" s="638"/>
      <c r="B271" s="646"/>
      <c r="C271" s="638"/>
      <c r="D271" s="647"/>
      <c r="E271" s="647"/>
    </row>
    <row r="272" spans="1:5" s="424" customFormat="1" x14ac:dyDescent="0.25">
      <c r="A272" s="638"/>
      <c r="B272" s="646"/>
      <c r="C272" s="638"/>
      <c r="D272" s="647"/>
      <c r="E272" s="647"/>
    </row>
    <row r="273" spans="1:5" s="424" customFormat="1" x14ac:dyDescent="0.25">
      <c r="A273" s="638"/>
      <c r="B273" s="646"/>
      <c r="C273" s="638"/>
      <c r="D273" s="647"/>
      <c r="E273" s="647"/>
    </row>
    <row r="274" spans="1:5" s="424" customFormat="1" x14ac:dyDescent="0.25">
      <c r="A274" s="638"/>
      <c r="B274" s="646"/>
      <c r="C274" s="638"/>
      <c r="D274" s="647"/>
      <c r="E274" s="647"/>
    </row>
    <row r="275" spans="1:5" s="424" customFormat="1" x14ac:dyDescent="0.25">
      <c r="A275" s="638"/>
      <c r="B275" s="646"/>
      <c r="C275" s="638"/>
      <c r="D275" s="647"/>
      <c r="E275" s="647"/>
    </row>
    <row r="276" spans="1:5" s="424" customFormat="1" x14ac:dyDescent="0.25">
      <c r="A276" s="638"/>
      <c r="B276" s="646"/>
      <c r="C276" s="638"/>
      <c r="D276" s="647"/>
      <c r="E276" s="647"/>
    </row>
    <row r="277" spans="1:5" s="424" customFormat="1" x14ac:dyDescent="0.25">
      <c r="A277" s="638"/>
      <c r="B277" s="646"/>
      <c r="C277" s="638"/>
      <c r="D277" s="647"/>
      <c r="E277" s="647"/>
    </row>
    <row r="278" spans="1:5" s="424" customFormat="1" x14ac:dyDescent="0.25">
      <c r="A278" s="638"/>
      <c r="B278" s="646"/>
      <c r="C278" s="638"/>
      <c r="D278" s="647"/>
      <c r="E278" s="647"/>
    </row>
    <row r="279" spans="1:5" s="424" customFormat="1" x14ac:dyDescent="0.25">
      <c r="A279" s="638"/>
      <c r="B279" s="646"/>
      <c r="C279" s="638"/>
      <c r="D279" s="647"/>
      <c r="E279" s="647"/>
    </row>
    <row r="280" spans="1:5" s="424" customFormat="1" x14ac:dyDescent="0.25">
      <c r="A280" s="638"/>
      <c r="B280" s="646"/>
      <c r="C280" s="638"/>
      <c r="D280" s="647"/>
      <c r="E280" s="647"/>
    </row>
    <row r="281" spans="1:5" s="424" customFormat="1" x14ac:dyDescent="0.25">
      <c r="A281" s="638"/>
      <c r="B281" s="646"/>
      <c r="C281" s="638"/>
      <c r="D281" s="647"/>
      <c r="E281" s="647"/>
    </row>
    <row r="282" spans="1:5" s="424" customFormat="1" x14ac:dyDescent="0.25">
      <c r="A282" s="638"/>
      <c r="B282" s="646"/>
      <c r="C282" s="638"/>
      <c r="D282" s="647"/>
      <c r="E282" s="647"/>
    </row>
    <row r="283" spans="1:5" s="424" customFormat="1" x14ac:dyDescent="0.25">
      <c r="A283" s="638"/>
      <c r="B283" s="646"/>
      <c r="C283" s="638"/>
      <c r="D283" s="647"/>
      <c r="E283" s="647"/>
    </row>
    <row r="284" spans="1:5" s="424" customFormat="1" x14ac:dyDescent="0.25">
      <c r="A284" s="638"/>
      <c r="B284" s="646"/>
      <c r="C284" s="638"/>
      <c r="D284" s="647"/>
      <c r="E284" s="647"/>
    </row>
    <row r="285" spans="1:5" s="424" customFormat="1" x14ac:dyDescent="0.25">
      <c r="A285" s="638"/>
      <c r="B285" s="646"/>
      <c r="C285" s="638"/>
      <c r="D285" s="647"/>
      <c r="E285" s="647"/>
    </row>
    <row r="286" spans="1:5" s="424" customFormat="1" x14ac:dyDescent="0.25">
      <c r="A286" s="638"/>
      <c r="B286" s="646"/>
      <c r="C286" s="638"/>
      <c r="D286" s="647"/>
      <c r="E286" s="647"/>
    </row>
    <row r="287" spans="1:5" s="424" customFormat="1" x14ac:dyDescent="0.25">
      <c r="A287" s="638"/>
      <c r="B287" s="646"/>
      <c r="C287" s="638"/>
      <c r="D287" s="647"/>
      <c r="E287" s="647"/>
    </row>
    <row r="288" spans="1:5" s="424" customFormat="1" x14ac:dyDescent="0.25">
      <c r="A288" s="638"/>
      <c r="B288" s="646"/>
      <c r="C288" s="638"/>
      <c r="D288" s="647"/>
      <c r="E288" s="647"/>
    </row>
    <row r="289" spans="1:5" s="424" customFormat="1" x14ac:dyDescent="0.25">
      <c r="A289" s="638"/>
      <c r="B289" s="646"/>
      <c r="C289" s="638"/>
      <c r="D289" s="647"/>
      <c r="E289" s="647"/>
    </row>
    <row r="290" spans="1:5" s="424" customFormat="1" x14ac:dyDescent="0.25">
      <c r="A290" s="638"/>
      <c r="B290" s="646"/>
      <c r="C290" s="638"/>
      <c r="D290" s="647"/>
      <c r="E290" s="647"/>
    </row>
    <row r="291" spans="1:5" s="424" customFormat="1" x14ac:dyDescent="0.25">
      <c r="A291" s="638"/>
      <c r="B291" s="646"/>
      <c r="C291" s="638"/>
      <c r="D291" s="647"/>
      <c r="E291" s="647"/>
    </row>
    <row r="292" spans="1:5" s="424" customFormat="1" x14ac:dyDescent="0.25">
      <c r="A292" s="638"/>
      <c r="B292" s="646"/>
      <c r="C292" s="638"/>
      <c r="D292" s="647"/>
      <c r="E292" s="647"/>
    </row>
    <row r="293" spans="1:5" s="424" customFormat="1" x14ac:dyDescent="0.25">
      <c r="A293" s="638"/>
      <c r="B293" s="646"/>
      <c r="C293" s="638"/>
      <c r="D293" s="647"/>
      <c r="E293" s="647"/>
    </row>
    <row r="294" spans="1:5" s="424" customFormat="1" x14ac:dyDescent="0.25">
      <c r="A294" s="638"/>
      <c r="B294" s="646"/>
      <c r="C294" s="638"/>
      <c r="D294" s="647"/>
      <c r="E294" s="647"/>
    </row>
    <row r="295" spans="1:5" s="424" customFormat="1" x14ac:dyDescent="0.25">
      <c r="A295" s="638"/>
      <c r="B295" s="646"/>
      <c r="C295" s="638"/>
      <c r="D295" s="647"/>
      <c r="E295" s="647"/>
    </row>
    <row r="296" spans="1:5" s="424" customFormat="1" x14ac:dyDescent="0.25">
      <c r="A296" s="638"/>
      <c r="B296" s="646"/>
      <c r="C296" s="638"/>
      <c r="D296" s="647"/>
      <c r="E296" s="647"/>
    </row>
    <row r="297" spans="1:5" s="424" customFormat="1" x14ac:dyDescent="0.25">
      <c r="A297" s="638"/>
      <c r="B297" s="646"/>
      <c r="C297" s="638"/>
      <c r="D297" s="647"/>
      <c r="E297" s="647"/>
    </row>
    <row r="298" spans="1:5" s="424" customFormat="1" x14ac:dyDescent="0.25">
      <c r="A298" s="638"/>
      <c r="B298" s="646"/>
      <c r="C298" s="638"/>
      <c r="D298" s="647"/>
      <c r="E298" s="647"/>
    </row>
    <row r="299" spans="1:5" s="424" customFormat="1" x14ac:dyDescent="0.25">
      <c r="A299" s="638"/>
      <c r="B299" s="646"/>
      <c r="C299" s="638"/>
      <c r="D299" s="647"/>
      <c r="E299" s="647"/>
    </row>
    <row r="300" spans="1:5" s="424" customFormat="1" x14ac:dyDescent="0.25">
      <c r="A300" s="638"/>
      <c r="B300" s="646"/>
      <c r="C300" s="638"/>
      <c r="D300" s="647"/>
      <c r="E300" s="647"/>
    </row>
    <row r="301" spans="1:5" s="424" customFormat="1" x14ac:dyDescent="0.25">
      <c r="A301" s="638"/>
      <c r="B301" s="646"/>
      <c r="C301" s="638"/>
      <c r="D301" s="647"/>
      <c r="E301" s="647"/>
    </row>
    <row r="302" spans="1:5" s="424" customFormat="1" x14ac:dyDescent="0.25">
      <c r="A302" s="638"/>
      <c r="B302" s="646"/>
      <c r="C302" s="638"/>
      <c r="D302" s="647"/>
      <c r="E302" s="647"/>
    </row>
    <row r="303" spans="1:5" s="424" customFormat="1" x14ac:dyDescent="0.25">
      <c r="A303" s="638"/>
      <c r="B303" s="646"/>
      <c r="C303" s="638"/>
      <c r="D303" s="647"/>
      <c r="E303" s="647"/>
    </row>
    <row r="304" spans="1:5" s="424" customFormat="1" x14ac:dyDescent="0.25">
      <c r="A304" s="638"/>
      <c r="B304" s="646"/>
      <c r="C304" s="638"/>
      <c r="D304" s="647"/>
      <c r="E304" s="647"/>
    </row>
    <row r="305" spans="1:5" s="424" customFormat="1" x14ac:dyDescent="0.25">
      <c r="A305" s="638"/>
      <c r="B305" s="646"/>
      <c r="C305" s="638"/>
      <c r="D305" s="647"/>
      <c r="E305" s="647"/>
    </row>
    <row r="306" spans="1:5" s="424" customFormat="1" x14ac:dyDescent="0.25">
      <c r="A306" s="638"/>
      <c r="B306" s="646"/>
      <c r="C306" s="638"/>
      <c r="D306" s="647"/>
      <c r="E306" s="647"/>
    </row>
    <row r="307" spans="1:5" s="424" customFormat="1" x14ac:dyDescent="0.25">
      <c r="A307" s="638"/>
      <c r="B307" s="646"/>
      <c r="C307" s="638"/>
      <c r="D307" s="647"/>
      <c r="E307" s="647"/>
    </row>
    <row r="308" spans="1:5" s="424" customFormat="1" x14ac:dyDescent="0.25">
      <c r="A308" s="638"/>
      <c r="B308" s="646"/>
      <c r="C308" s="638"/>
      <c r="D308" s="647"/>
      <c r="E308" s="647"/>
    </row>
    <row r="309" spans="1:5" s="424" customFormat="1" x14ac:dyDescent="0.25">
      <c r="A309" s="638"/>
      <c r="B309" s="646"/>
      <c r="C309" s="638"/>
      <c r="D309" s="647"/>
      <c r="E309" s="647"/>
    </row>
    <row r="310" spans="1:5" s="424" customFormat="1" x14ac:dyDescent="0.25">
      <c r="A310" s="638"/>
      <c r="B310" s="646"/>
      <c r="C310" s="638"/>
      <c r="D310" s="647"/>
      <c r="E310" s="647"/>
    </row>
    <row r="311" spans="1:5" s="424" customFormat="1" x14ac:dyDescent="0.25">
      <c r="A311" s="638"/>
      <c r="B311" s="646"/>
      <c r="C311" s="638"/>
      <c r="D311" s="647"/>
      <c r="E311" s="647"/>
    </row>
    <row r="312" spans="1:5" s="424" customFormat="1" x14ac:dyDescent="0.25">
      <c r="A312" s="638"/>
      <c r="B312" s="646"/>
      <c r="C312" s="638"/>
      <c r="D312" s="647"/>
      <c r="E312" s="647"/>
    </row>
    <row r="313" spans="1:5" s="424" customFormat="1" x14ac:dyDescent="0.25">
      <c r="A313" s="638"/>
      <c r="B313" s="646"/>
      <c r="C313" s="638"/>
      <c r="D313" s="647"/>
      <c r="E313" s="647"/>
    </row>
    <row r="314" spans="1:5" s="424" customFormat="1" x14ac:dyDescent="0.25">
      <c r="A314" s="638"/>
      <c r="B314" s="646"/>
      <c r="C314" s="638"/>
      <c r="D314" s="647"/>
      <c r="E314" s="647"/>
    </row>
    <row r="315" spans="1:5" s="424" customFormat="1" x14ac:dyDescent="0.25">
      <c r="A315" s="638"/>
      <c r="B315" s="646"/>
      <c r="C315" s="638"/>
      <c r="D315" s="647"/>
      <c r="E315" s="647"/>
    </row>
    <row r="316" spans="1:5" s="424" customFormat="1" x14ac:dyDescent="0.25">
      <c r="A316" s="638"/>
      <c r="B316" s="646"/>
      <c r="C316" s="638"/>
      <c r="D316" s="647"/>
      <c r="E316" s="647"/>
    </row>
    <row r="317" spans="1:5" s="424" customFormat="1" x14ac:dyDescent="0.25">
      <c r="A317" s="638"/>
      <c r="B317" s="646"/>
      <c r="C317" s="638"/>
      <c r="D317" s="647"/>
      <c r="E317" s="647"/>
    </row>
    <row r="318" spans="1:5" s="424" customFormat="1" x14ac:dyDescent="0.25">
      <c r="A318" s="638"/>
      <c r="B318" s="646"/>
      <c r="C318" s="638"/>
      <c r="D318" s="647"/>
      <c r="E318" s="647"/>
    </row>
    <row r="319" spans="1:5" s="424" customFormat="1" x14ac:dyDescent="0.25">
      <c r="A319" s="638"/>
      <c r="B319" s="646"/>
      <c r="C319" s="638"/>
      <c r="D319" s="647"/>
      <c r="E319" s="647"/>
    </row>
    <row r="320" spans="1:5" s="424" customFormat="1" x14ac:dyDescent="0.25">
      <c r="A320" s="638"/>
      <c r="B320" s="646"/>
      <c r="C320" s="638"/>
      <c r="D320" s="647"/>
      <c r="E320" s="647"/>
    </row>
    <row r="321" spans="1:5" s="424" customFormat="1" x14ac:dyDescent="0.25">
      <c r="A321" s="638"/>
      <c r="B321" s="646"/>
      <c r="C321" s="638"/>
      <c r="D321" s="647"/>
      <c r="E321" s="647"/>
    </row>
    <row r="322" spans="1:5" s="424" customFormat="1" x14ac:dyDescent="0.25">
      <c r="A322" s="638"/>
      <c r="B322" s="646"/>
      <c r="C322" s="638"/>
      <c r="D322" s="647"/>
      <c r="E322" s="647"/>
    </row>
    <row r="323" spans="1:5" s="424" customFormat="1" x14ac:dyDescent="0.25">
      <c r="A323" s="638"/>
      <c r="B323" s="646"/>
      <c r="C323" s="638"/>
      <c r="D323" s="647"/>
      <c r="E323" s="647"/>
    </row>
    <row r="324" spans="1:5" s="424" customFormat="1" x14ac:dyDescent="0.25">
      <c r="A324" s="638"/>
      <c r="B324" s="646"/>
      <c r="C324" s="638"/>
      <c r="D324" s="647"/>
      <c r="E324" s="647"/>
    </row>
    <row r="325" spans="1:5" s="424" customFormat="1" x14ac:dyDescent="0.25">
      <c r="A325" s="638"/>
      <c r="B325" s="646"/>
      <c r="C325" s="638"/>
      <c r="D325" s="647"/>
      <c r="E325" s="647"/>
    </row>
    <row r="326" spans="1:5" s="424" customFormat="1" x14ac:dyDescent="0.25">
      <c r="A326" s="638"/>
      <c r="B326" s="646"/>
      <c r="C326" s="638"/>
      <c r="D326" s="647"/>
      <c r="E326" s="647"/>
    </row>
    <row r="327" spans="1:5" s="424" customFormat="1" x14ac:dyDescent="0.25">
      <c r="A327" s="638"/>
      <c r="B327" s="646"/>
      <c r="C327" s="638"/>
      <c r="D327" s="647"/>
      <c r="E327" s="647"/>
    </row>
    <row r="328" spans="1:5" s="424" customFormat="1" x14ac:dyDescent="0.25">
      <c r="A328" s="638"/>
      <c r="B328" s="646"/>
      <c r="C328" s="638"/>
      <c r="D328" s="647"/>
      <c r="E328" s="647"/>
    </row>
    <row r="329" spans="1:5" s="424" customFormat="1" x14ac:dyDescent="0.25">
      <c r="A329" s="638"/>
      <c r="B329" s="646"/>
      <c r="C329" s="638"/>
      <c r="D329" s="647"/>
      <c r="E329" s="647"/>
    </row>
    <row r="330" spans="1:5" s="424" customFormat="1" x14ac:dyDescent="0.25">
      <c r="A330" s="638"/>
      <c r="B330" s="646"/>
      <c r="C330" s="638"/>
      <c r="D330" s="647"/>
      <c r="E330" s="647"/>
    </row>
    <row r="331" spans="1:5" s="424" customFormat="1" x14ac:dyDescent="0.25">
      <c r="A331" s="638"/>
      <c r="B331" s="646"/>
      <c r="C331" s="638"/>
      <c r="D331" s="647"/>
      <c r="E331" s="647"/>
    </row>
    <row r="332" spans="1:5" s="424" customFormat="1" x14ac:dyDescent="0.25">
      <c r="A332" s="638"/>
      <c r="B332" s="646"/>
      <c r="C332" s="638"/>
      <c r="D332" s="647"/>
      <c r="E332" s="647"/>
    </row>
    <row r="333" spans="1:5" s="424" customFormat="1" x14ac:dyDescent="0.25">
      <c r="A333" s="638"/>
      <c r="B333" s="646"/>
      <c r="C333" s="638"/>
      <c r="D333" s="647"/>
      <c r="E333" s="647"/>
    </row>
    <row r="334" spans="1:5" s="424" customFormat="1" x14ac:dyDescent="0.25">
      <c r="A334" s="638"/>
      <c r="B334" s="646"/>
      <c r="C334" s="638"/>
      <c r="D334" s="647"/>
      <c r="E334" s="647"/>
    </row>
    <row r="335" spans="1:5" s="424" customFormat="1" x14ac:dyDescent="0.25">
      <c r="A335" s="638"/>
      <c r="B335" s="646"/>
      <c r="C335" s="638"/>
      <c r="D335" s="647"/>
      <c r="E335" s="647"/>
    </row>
    <row r="336" spans="1:5" s="424" customFormat="1" x14ac:dyDescent="0.25">
      <c r="A336" s="638"/>
      <c r="B336" s="646"/>
      <c r="C336" s="638"/>
      <c r="D336" s="647"/>
      <c r="E336" s="647"/>
    </row>
    <row r="337" spans="1:5" s="424" customFormat="1" x14ac:dyDescent="0.25">
      <c r="A337" s="638"/>
      <c r="B337" s="646"/>
      <c r="C337" s="638"/>
      <c r="D337" s="647"/>
      <c r="E337" s="647"/>
    </row>
    <row r="338" spans="1:5" s="424" customFormat="1" x14ac:dyDescent="0.25">
      <c r="A338" s="638"/>
      <c r="B338" s="646"/>
      <c r="C338" s="638"/>
      <c r="D338" s="647"/>
      <c r="E338" s="647"/>
    </row>
    <row r="339" spans="1:5" s="424" customFormat="1" x14ac:dyDescent="0.25">
      <c r="A339" s="638"/>
      <c r="B339" s="646"/>
      <c r="C339" s="638"/>
      <c r="D339" s="647"/>
      <c r="E339" s="647"/>
    </row>
    <row r="340" spans="1:5" s="424" customFormat="1" x14ac:dyDescent="0.25">
      <c r="A340" s="638"/>
      <c r="B340" s="646"/>
      <c r="C340" s="638"/>
      <c r="D340" s="647"/>
      <c r="E340" s="647"/>
    </row>
    <row r="341" spans="1:5" s="424" customFormat="1" x14ac:dyDescent="0.25">
      <c r="A341" s="638"/>
      <c r="B341" s="646"/>
      <c r="C341" s="638"/>
      <c r="D341" s="647"/>
      <c r="E341" s="647"/>
    </row>
    <row r="342" spans="1:5" s="424" customFormat="1" x14ac:dyDescent="0.25">
      <c r="A342" s="638"/>
      <c r="B342" s="646"/>
      <c r="C342" s="638"/>
      <c r="D342" s="647"/>
      <c r="E342" s="647"/>
    </row>
    <row r="343" spans="1:5" s="424" customFormat="1" x14ac:dyDescent="0.25">
      <c r="A343" s="638"/>
      <c r="B343" s="646"/>
      <c r="C343" s="638"/>
      <c r="D343" s="647"/>
      <c r="E343" s="647"/>
    </row>
    <row r="344" spans="1:5" s="424" customFormat="1" x14ac:dyDescent="0.25">
      <c r="A344" s="638"/>
      <c r="B344" s="646"/>
      <c r="C344" s="638"/>
      <c r="D344" s="647"/>
      <c r="E344" s="647"/>
    </row>
    <row r="345" spans="1:5" s="424" customFormat="1" x14ac:dyDescent="0.25">
      <c r="A345" s="638"/>
      <c r="B345" s="646"/>
      <c r="C345" s="638"/>
      <c r="D345" s="647"/>
      <c r="E345" s="647"/>
    </row>
    <row r="346" spans="1:5" s="424" customFormat="1" x14ac:dyDescent="0.25">
      <c r="A346" s="638"/>
      <c r="B346" s="646"/>
      <c r="C346" s="638"/>
      <c r="D346" s="647"/>
      <c r="E346" s="647"/>
    </row>
    <row r="347" spans="1:5" s="424" customFormat="1" x14ac:dyDescent="0.25">
      <c r="A347" s="638"/>
      <c r="B347" s="646"/>
      <c r="C347" s="638"/>
      <c r="D347" s="647"/>
      <c r="E347" s="647"/>
    </row>
    <row r="348" spans="1:5" s="424" customFormat="1" x14ac:dyDescent="0.25">
      <c r="A348" s="638"/>
      <c r="B348" s="646"/>
      <c r="C348" s="638"/>
      <c r="D348" s="647"/>
      <c r="E348" s="647"/>
    </row>
    <row r="349" spans="1:5" s="424" customFormat="1" x14ac:dyDescent="0.25">
      <c r="A349" s="638"/>
      <c r="B349" s="646"/>
      <c r="C349" s="638"/>
      <c r="D349" s="647"/>
      <c r="E349" s="647"/>
    </row>
    <row r="350" spans="1:5" s="424" customFormat="1" x14ac:dyDescent="0.25">
      <c r="A350" s="638"/>
      <c r="B350" s="646"/>
      <c r="C350" s="638"/>
      <c r="D350" s="647"/>
      <c r="E350" s="647"/>
    </row>
    <row r="351" spans="1:5" s="424" customFormat="1" x14ac:dyDescent="0.25">
      <c r="A351" s="638"/>
      <c r="B351" s="646"/>
      <c r="C351" s="638"/>
      <c r="D351" s="647"/>
      <c r="E351" s="647"/>
    </row>
    <row r="352" spans="1:5" s="424" customFormat="1" x14ac:dyDescent="0.25">
      <c r="A352" s="638"/>
      <c r="B352" s="646"/>
      <c r="C352" s="638"/>
      <c r="D352" s="647"/>
      <c r="E352" s="647"/>
    </row>
    <row r="353" spans="1:5" s="424" customFormat="1" x14ac:dyDescent="0.25">
      <c r="A353" s="638"/>
      <c r="B353" s="646"/>
      <c r="C353" s="638"/>
      <c r="D353" s="647"/>
      <c r="E353" s="647"/>
    </row>
    <row r="354" spans="1:5" s="424" customFormat="1" x14ac:dyDescent="0.25">
      <c r="A354" s="638"/>
      <c r="B354" s="646"/>
      <c r="C354" s="638"/>
      <c r="D354" s="647"/>
      <c r="E354" s="647"/>
    </row>
    <row r="355" spans="1:5" s="424" customFormat="1" x14ac:dyDescent="0.25">
      <c r="A355" s="638"/>
      <c r="B355" s="646"/>
      <c r="C355" s="638"/>
      <c r="D355" s="647"/>
      <c r="E355" s="647"/>
    </row>
    <row r="356" spans="1:5" s="424" customFormat="1" x14ac:dyDescent="0.25">
      <c r="A356" s="638"/>
      <c r="B356" s="646"/>
      <c r="C356" s="638"/>
      <c r="D356" s="647"/>
      <c r="E356" s="647"/>
    </row>
    <row r="357" spans="1:5" s="424" customFormat="1" x14ac:dyDescent="0.25">
      <c r="A357" s="638"/>
      <c r="B357" s="646"/>
      <c r="C357" s="638"/>
      <c r="D357" s="647"/>
      <c r="E357" s="647"/>
    </row>
    <row r="358" spans="1:5" s="424" customFormat="1" x14ac:dyDescent="0.25">
      <c r="A358" s="638"/>
      <c r="B358" s="646"/>
      <c r="C358" s="638"/>
      <c r="D358" s="647"/>
      <c r="E358" s="647"/>
    </row>
    <row r="359" spans="1:5" s="424" customFormat="1" x14ac:dyDescent="0.25">
      <c r="A359" s="638"/>
      <c r="B359" s="646"/>
      <c r="C359" s="638"/>
      <c r="D359" s="647"/>
      <c r="E359" s="647"/>
    </row>
    <row r="360" spans="1:5" s="424" customFormat="1" x14ac:dyDescent="0.25">
      <c r="A360" s="638"/>
      <c r="B360" s="646"/>
      <c r="C360" s="638"/>
      <c r="D360" s="647"/>
      <c r="E360" s="647"/>
    </row>
    <row r="361" spans="1:5" s="424" customFormat="1" x14ac:dyDescent="0.25">
      <c r="A361" s="638"/>
      <c r="B361" s="646"/>
      <c r="C361" s="638"/>
      <c r="D361" s="647"/>
      <c r="E361" s="647"/>
    </row>
    <row r="362" spans="1:5" s="424" customFormat="1" x14ac:dyDescent="0.25">
      <c r="A362" s="638"/>
      <c r="B362" s="646"/>
      <c r="C362" s="638"/>
      <c r="D362" s="647"/>
      <c r="E362" s="647"/>
    </row>
    <row r="363" spans="1:5" s="424" customFormat="1" x14ac:dyDescent="0.25">
      <c r="A363" s="638"/>
      <c r="B363" s="646"/>
      <c r="C363" s="638"/>
      <c r="D363" s="647"/>
      <c r="E363" s="647"/>
    </row>
    <row r="364" spans="1:5" s="424" customFormat="1" x14ac:dyDescent="0.25">
      <c r="A364" s="638"/>
      <c r="B364" s="646"/>
      <c r="C364" s="638"/>
      <c r="D364" s="647"/>
      <c r="E364" s="647"/>
    </row>
    <row r="365" spans="1:5" s="424" customFormat="1" x14ac:dyDescent="0.25">
      <c r="A365" s="638"/>
      <c r="B365" s="646"/>
      <c r="C365" s="638"/>
      <c r="D365" s="647"/>
      <c r="E365" s="647"/>
    </row>
    <row r="366" spans="1:5" s="424" customFormat="1" x14ac:dyDescent="0.25">
      <c r="A366" s="638"/>
      <c r="B366" s="646"/>
      <c r="C366" s="638"/>
      <c r="D366" s="647"/>
      <c r="E366" s="647"/>
    </row>
    <row r="367" spans="1:5" s="424" customFormat="1" x14ac:dyDescent="0.25">
      <c r="A367" s="638"/>
      <c r="B367" s="646"/>
      <c r="C367" s="638"/>
      <c r="D367" s="647"/>
      <c r="E367" s="647"/>
    </row>
    <row r="368" spans="1:5" s="424" customFormat="1" x14ac:dyDescent="0.25">
      <c r="A368" s="638"/>
      <c r="B368" s="646"/>
      <c r="C368" s="638"/>
      <c r="D368" s="647"/>
      <c r="E368" s="647"/>
    </row>
    <row r="369" spans="1:5" s="424" customFormat="1" x14ac:dyDescent="0.25">
      <c r="A369" s="638"/>
      <c r="B369" s="646"/>
      <c r="C369" s="638"/>
      <c r="D369" s="647"/>
      <c r="E369" s="647"/>
    </row>
    <row r="370" spans="1:5" s="424" customFormat="1" x14ac:dyDescent="0.25">
      <c r="A370" s="638"/>
      <c r="B370" s="646"/>
      <c r="C370" s="638"/>
      <c r="D370" s="647"/>
      <c r="E370" s="647"/>
    </row>
    <row r="371" spans="1:5" s="424" customFormat="1" x14ac:dyDescent="0.25">
      <c r="A371" s="638"/>
      <c r="B371" s="646"/>
      <c r="C371" s="638"/>
      <c r="D371" s="647"/>
      <c r="E371" s="647"/>
    </row>
    <row r="372" spans="1:5" s="424" customFormat="1" x14ac:dyDescent="0.25">
      <c r="A372" s="638"/>
      <c r="B372" s="646"/>
      <c r="C372" s="638"/>
      <c r="D372" s="647"/>
      <c r="E372" s="647"/>
    </row>
    <row r="373" spans="1:5" s="424" customFormat="1" x14ac:dyDescent="0.25">
      <c r="A373" s="638"/>
      <c r="B373" s="646"/>
      <c r="C373" s="638"/>
      <c r="D373" s="647"/>
      <c r="E373" s="647"/>
    </row>
    <row r="374" spans="1:5" s="424" customFormat="1" x14ac:dyDescent="0.25">
      <c r="A374" s="638"/>
      <c r="B374" s="646"/>
      <c r="C374" s="638"/>
      <c r="D374" s="647"/>
      <c r="E374" s="647"/>
    </row>
    <row r="375" spans="1:5" s="424" customFormat="1" x14ac:dyDescent="0.25">
      <c r="A375" s="638"/>
      <c r="B375" s="646"/>
      <c r="C375" s="638"/>
      <c r="D375" s="647"/>
      <c r="E375" s="647"/>
    </row>
    <row r="376" spans="1:5" s="424" customFormat="1" x14ac:dyDescent="0.25">
      <c r="A376" s="638"/>
      <c r="B376" s="646"/>
      <c r="C376" s="638"/>
      <c r="D376" s="647"/>
      <c r="E376" s="647"/>
    </row>
    <row r="377" spans="1:5" s="424" customFormat="1" x14ac:dyDescent="0.25">
      <c r="A377" s="638"/>
      <c r="B377" s="646"/>
      <c r="C377" s="638"/>
      <c r="D377" s="647"/>
      <c r="E377" s="647"/>
    </row>
    <row r="378" spans="1:5" s="424" customFormat="1" x14ac:dyDescent="0.25">
      <c r="A378" s="638"/>
      <c r="B378" s="646"/>
      <c r="C378" s="638"/>
      <c r="D378" s="647"/>
      <c r="E378" s="647"/>
    </row>
    <row r="379" spans="1:5" s="424" customFormat="1" x14ac:dyDescent="0.25">
      <c r="A379" s="638"/>
      <c r="B379" s="646"/>
      <c r="C379" s="638"/>
      <c r="D379" s="647"/>
      <c r="E379" s="647"/>
    </row>
    <row r="380" spans="1:5" s="424" customFormat="1" x14ac:dyDescent="0.25">
      <c r="A380" s="638"/>
      <c r="B380" s="646"/>
      <c r="C380" s="638"/>
      <c r="D380" s="647"/>
      <c r="E380" s="647"/>
    </row>
    <row r="381" spans="1:5" s="424" customFormat="1" x14ac:dyDescent="0.25">
      <c r="A381" s="638"/>
      <c r="B381" s="646"/>
      <c r="C381" s="638"/>
      <c r="D381" s="647"/>
      <c r="E381" s="647"/>
    </row>
    <row r="382" spans="1:5" s="424" customFormat="1" x14ac:dyDescent="0.25">
      <c r="A382" s="638"/>
      <c r="B382" s="646"/>
      <c r="C382" s="638"/>
      <c r="D382" s="647"/>
      <c r="E382" s="647"/>
    </row>
    <row r="383" spans="1:5" s="424" customFormat="1" x14ac:dyDescent="0.25">
      <c r="A383" s="638"/>
      <c r="B383" s="646"/>
      <c r="C383" s="638"/>
      <c r="D383" s="647"/>
      <c r="E383" s="647"/>
    </row>
    <row r="384" spans="1:5" s="424" customFormat="1" x14ac:dyDescent="0.25">
      <c r="A384" s="638"/>
      <c r="B384" s="646"/>
      <c r="C384" s="638"/>
      <c r="D384" s="647"/>
      <c r="E384" s="647"/>
    </row>
    <row r="385" spans="1:5" s="424" customFormat="1" x14ac:dyDescent="0.25">
      <c r="A385" s="638"/>
      <c r="B385" s="646"/>
      <c r="C385" s="638"/>
      <c r="D385" s="647"/>
      <c r="E385" s="647"/>
    </row>
    <row r="386" spans="1:5" s="424" customFormat="1" x14ac:dyDescent="0.25">
      <c r="A386" s="638"/>
      <c r="B386" s="646"/>
      <c r="C386" s="638"/>
      <c r="D386" s="647"/>
      <c r="E386" s="647"/>
    </row>
    <row r="387" spans="1:5" s="424" customFormat="1" x14ac:dyDescent="0.25">
      <c r="A387" s="638"/>
      <c r="B387" s="646"/>
      <c r="C387" s="638"/>
      <c r="D387" s="647"/>
      <c r="E387" s="647"/>
    </row>
    <row r="388" spans="1:5" s="424" customFormat="1" x14ac:dyDescent="0.25">
      <c r="A388" s="638"/>
      <c r="B388" s="646"/>
      <c r="C388" s="638"/>
      <c r="D388" s="647"/>
      <c r="E388" s="647"/>
    </row>
    <row r="389" spans="1:5" s="424" customFormat="1" x14ac:dyDescent="0.25">
      <c r="A389" s="638"/>
      <c r="B389" s="646"/>
      <c r="C389" s="638"/>
      <c r="D389" s="647"/>
      <c r="E389" s="647"/>
    </row>
    <row r="390" spans="1:5" s="424" customFormat="1" x14ac:dyDescent="0.25">
      <c r="A390" s="638"/>
      <c r="B390" s="646"/>
      <c r="C390" s="638"/>
      <c r="D390" s="647"/>
      <c r="E390" s="647"/>
    </row>
    <row r="391" spans="1:5" s="424" customFormat="1" x14ac:dyDescent="0.25">
      <c r="A391" s="638"/>
      <c r="B391" s="646"/>
      <c r="C391" s="638"/>
      <c r="D391" s="647"/>
      <c r="E391" s="647"/>
    </row>
    <row r="392" spans="1:5" s="424" customFormat="1" x14ac:dyDescent="0.25">
      <c r="A392" s="638"/>
      <c r="B392" s="646"/>
      <c r="C392" s="638"/>
      <c r="D392" s="647"/>
      <c r="E392" s="647"/>
    </row>
    <row r="393" spans="1:5" s="424" customFormat="1" x14ac:dyDescent="0.25">
      <c r="A393" s="638"/>
      <c r="B393" s="646"/>
      <c r="C393" s="638"/>
      <c r="D393" s="647"/>
      <c r="E393" s="647"/>
    </row>
    <row r="394" spans="1:5" s="424" customFormat="1" x14ac:dyDescent="0.25">
      <c r="A394" s="638"/>
      <c r="B394" s="646"/>
      <c r="C394" s="638"/>
      <c r="D394" s="647"/>
      <c r="E394" s="647"/>
    </row>
    <row r="395" spans="1:5" s="424" customFormat="1" x14ac:dyDescent="0.25">
      <c r="A395" s="638"/>
      <c r="B395" s="646"/>
      <c r="C395" s="638"/>
      <c r="D395" s="647"/>
      <c r="E395" s="647"/>
    </row>
    <row r="396" spans="1:5" s="424" customFormat="1" x14ac:dyDescent="0.25">
      <c r="A396" s="638"/>
      <c r="B396" s="646"/>
      <c r="C396" s="638"/>
      <c r="D396" s="647"/>
      <c r="E396" s="647"/>
    </row>
    <row r="397" spans="1:5" s="424" customFormat="1" x14ac:dyDescent="0.25">
      <c r="A397" s="638"/>
      <c r="B397" s="646"/>
      <c r="C397" s="638"/>
      <c r="D397" s="647"/>
      <c r="E397" s="647"/>
    </row>
    <row r="398" spans="1:5" s="424" customFormat="1" x14ac:dyDescent="0.25">
      <c r="A398" s="638"/>
      <c r="B398" s="646"/>
      <c r="C398" s="638"/>
      <c r="D398" s="647"/>
      <c r="E398" s="647"/>
    </row>
    <row r="399" spans="1:5" s="424" customFormat="1" x14ac:dyDescent="0.25">
      <c r="A399" s="638"/>
      <c r="B399" s="646"/>
      <c r="C399" s="638"/>
      <c r="D399" s="647"/>
      <c r="E399" s="647"/>
    </row>
    <row r="400" spans="1:5" s="424" customFormat="1" x14ac:dyDescent="0.25">
      <c r="A400" s="638"/>
      <c r="B400" s="646"/>
      <c r="C400" s="638"/>
      <c r="D400" s="647"/>
      <c r="E400" s="647"/>
    </row>
    <row r="401" spans="1:5" s="424" customFormat="1" x14ac:dyDescent="0.25">
      <c r="A401" s="638"/>
      <c r="B401" s="646"/>
      <c r="C401" s="638"/>
      <c r="D401" s="647"/>
      <c r="E401" s="647"/>
    </row>
    <row r="402" spans="1:5" s="424" customFormat="1" x14ac:dyDescent="0.25">
      <c r="A402" s="638"/>
      <c r="B402" s="646"/>
      <c r="C402" s="638"/>
      <c r="D402" s="647"/>
      <c r="E402" s="647"/>
    </row>
    <row r="403" spans="1:5" s="424" customFormat="1" x14ac:dyDescent="0.25">
      <c r="A403" s="638"/>
      <c r="B403" s="646"/>
      <c r="C403" s="638"/>
      <c r="D403" s="647"/>
      <c r="E403" s="647"/>
    </row>
    <row r="404" spans="1:5" s="424" customFormat="1" x14ac:dyDescent="0.25">
      <c r="A404" s="638"/>
      <c r="B404" s="646"/>
      <c r="C404" s="638"/>
      <c r="D404" s="647"/>
      <c r="E404" s="647"/>
    </row>
    <row r="405" spans="1:5" s="424" customFormat="1" x14ac:dyDescent="0.25">
      <c r="A405" s="638"/>
      <c r="B405" s="646"/>
      <c r="C405" s="638"/>
      <c r="D405" s="647"/>
      <c r="E405" s="647"/>
    </row>
    <row r="406" spans="1:5" s="424" customFormat="1" x14ac:dyDescent="0.25">
      <c r="A406" s="638"/>
      <c r="B406" s="646"/>
      <c r="C406" s="638"/>
      <c r="D406" s="647"/>
      <c r="E406" s="647"/>
    </row>
    <row r="407" spans="1:5" s="424" customFormat="1" x14ac:dyDescent="0.25">
      <c r="A407" s="638"/>
      <c r="B407" s="646"/>
      <c r="C407" s="638"/>
      <c r="D407" s="647"/>
      <c r="E407" s="647"/>
    </row>
    <row r="408" spans="1:5" s="424" customFormat="1" x14ac:dyDescent="0.25">
      <c r="A408" s="638"/>
      <c r="B408" s="646"/>
      <c r="C408" s="638"/>
      <c r="D408" s="647"/>
      <c r="E408" s="647"/>
    </row>
    <row r="409" spans="1:5" s="424" customFormat="1" x14ac:dyDescent="0.25">
      <c r="A409" s="638"/>
      <c r="B409" s="646"/>
      <c r="C409" s="638"/>
      <c r="D409" s="647"/>
      <c r="E409" s="647"/>
    </row>
    <row r="410" spans="1:5" s="424" customFormat="1" x14ac:dyDescent="0.25">
      <c r="A410" s="638"/>
      <c r="B410" s="646"/>
      <c r="C410" s="638"/>
      <c r="D410" s="647"/>
      <c r="E410" s="647"/>
    </row>
    <row r="411" spans="1:5" s="424" customFormat="1" x14ac:dyDescent="0.25">
      <c r="A411" s="638"/>
      <c r="B411" s="646"/>
      <c r="C411" s="638"/>
      <c r="D411" s="647"/>
      <c r="E411" s="647"/>
    </row>
    <row r="412" spans="1:5" s="424" customFormat="1" x14ac:dyDescent="0.25">
      <c r="A412" s="638"/>
      <c r="B412" s="646"/>
      <c r="C412" s="638"/>
      <c r="D412" s="647"/>
      <c r="E412" s="647"/>
    </row>
    <row r="413" spans="1:5" s="424" customFormat="1" x14ac:dyDescent="0.25">
      <c r="A413" s="638"/>
      <c r="B413" s="646"/>
      <c r="C413" s="638"/>
      <c r="D413" s="647"/>
      <c r="E413" s="647"/>
    </row>
    <row r="414" spans="1:5" s="424" customFormat="1" x14ac:dyDescent="0.25">
      <c r="A414" s="638"/>
      <c r="B414" s="646"/>
      <c r="C414" s="638"/>
      <c r="D414" s="647"/>
      <c r="E414" s="647"/>
    </row>
    <row r="415" spans="1:5" s="424" customFormat="1" x14ac:dyDescent="0.25">
      <c r="A415" s="638"/>
      <c r="B415" s="646"/>
      <c r="C415" s="638"/>
      <c r="D415" s="647"/>
      <c r="E415" s="647"/>
    </row>
    <row r="416" spans="1:5" s="424" customFormat="1" x14ac:dyDescent="0.25">
      <c r="A416" s="638"/>
      <c r="B416" s="646"/>
      <c r="C416" s="638"/>
      <c r="D416" s="647"/>
      <c r="E416" s="647"/>
    </row>
    <row r="417" spans="1:5" s="424" customFormat="1" x14ac:dyDescent="0.25">
      <c r="A417" s="638"/>
      <c r="B417" s="646"/>
      <c r="C417" s="638"/>
      <c r="D417" s="647"/>
      <c r="E417" s="647"/>
    </row>
    <row r="418" spans="1:5" s="424" customFormat="1" x14ac:dyDescent="0.25">
      <c r="A418" s="638"/>
      <c r="B418" s="646"/>
      <c r="C418" s="638"/>
      <c r="D418" s="647"/>
      <c r="E418" s="647"/>
    </row>
    <row r="419" spans="1:5" s="424" customFormat="1" x14ac:dyDescent="0.25">
      <c r="A419" s="638"/>
      <c r="B419" s="646"/>
      <c r="C419" s="638"/>
      <c r="D419" s="647"/>
      <c r="E419" s="647"/>
    </row>
    <row r="420" spans="1:5" s="424" customFormat="1" x14ac:dyDescent="0.25">
      <c r="A420" s="638"/>
      <c r="B420" s="646"/>
      <c r="C420" s="638"/>
      <c r="D420" s="647"/>
      <c r="E420" s="647"/>
    </row>
    <row r="421" spans="1:5" s="424" customFormat="1" x14ac:dyDescent="0.25">
      <c r="A421" s="638"/>
      <c r="B421" s="646"/>
      <c r="C421" s="638"/>
      <c r="D421" s="647"/>
      <c r="E421" s="647"/>
    </row>
    <row r="422" spans="1:5" s="424" customFormat="1" x14ac:dyDescent="0.25">
      <c r="A422" s="638"/>
      <c r="B422" s="646"/>
      <c r="C422" s="638"/>
      <c r="D422" s="647"/>
      <c r="E422" s="647"/>
    </row>
    <row r="423" spans="1:5" s="424" customFormat="1" x14ac:dyDescent="0.25">
      <c r="A423" s="638"/>
      <c r="B423" s="646"/>
      <c r="C423" s="638"/>
      <c r="D423" s="647"/>
      <c r="E423" s="647"/>
    </row>
    <row r="424" spans="1:5" s="424" customFormat="1" x14ac:dyDescent="0.25">
      <c r="A424" s="638"/>
      <c r="B424" s="646"/>
      <c r="C424" s="638"/>
      <c r="D424" s="647"/>
      <c r="E424" s="647"/>
    </row>
    <row r="425" spans="1:5" s="424" customFormat="1" x14ac:dyDescent="0.25">
      <c r="A425" s="638"/>
      <c r="B425" s="646"/>
      <c r="C425" s="638"/>
      <c r="D425" s="647"/>
      <c r="E425" s="647"/>
    </row>
    <row r="426" spans="1:5" s="424" customFormat="1" x14ac:dyDescent="0.25">
      <c r="A426" s="638"/>
      <c r="B426" s="646"/>
      <c r="C426" s="638"/>
      <c r="D426" s="647"/>
      <c r="E426" s="647"/>
    </row>
    <row r="427" spans="1:5" s="424" customFormat="1" x14ac:dyDescent="0.25">
      <c r="A427" s="638"/>
      <c r="B427" s="646"/>
      <c r="C427" s="638"/>
      <c r="D427" s="647"/>
      <c r="E427" s="647"/>
    </row>
    <row r="428" spans="1:5" s="424" customFormat="1" x14ac:dyDescent="0.25">
      <c r="A428" s="638"/>
      <c r="B428" s="646"/>
      <c r="C428" s="638"/>
      <c r="D428" s="647"/>
      <c r="E428" s="647"/>
    </row>
    <row r="429" spans="1:5" s="424" customFormat="1" x14ac:dyDescent="0.25">
      <c r="A429" s="638"/>
      <c r="B429" s="646"/>
      <c r="C429" s="638"/>
      <c r="D429" s="647"/>
      <c r="E429" s="647"/>
    </row>
    <row r="430" spans="1:5" s="424" customFormat="1" x14ac:dyDescent="0.25">
      <c r="A430" s="638"/>
      <c r="B430" s="646"/>
      <c r="C430" s="638"/>
      <c r="D430" s="647"/>
      <c r="E430" s="647"/>
    </row>
    <row r="431" spans="1:5" s="424" customFormat="1" x14ac:dyDescent="0.25">
      <c r="A431" s="638"/>
      <c r="B431" s="646"/>
      <c r="C431" s="638"/>
      <c r="D431" s="647"/>
      <c r="E431" s="647"/>
    </row>
    <row r="432" spans="1:5" s="424" customFormat="1" x14ac:dyDescent="0.25">
      <c r="A432" s="638"/>
      <c r="B432" s="646"/>
      <c r="C432" s="638"/>
      <c r="D432" s="647"/>
      <c r="E432" s="647"/>
    </row>
    <row r="433" spans="1:5" s="424" customFormat="1" x14ac:dyDescent="0.25">
      <c r="A433" s="638"/>
      <c r="B433" s="646"/>
      <c r="C433" s="638"/>
      <c r="D433" s="647"/>
      <c r="E433" s="647"/>
    </row>
    <row r="434" spans="1:5" s="424" customFormat="1" x14ac:dyDescent="0.25">
      <c r="A434" s="638"/>
      <c r="B434" s="646"/>
      <c r="C434" s="638"/>
      <c r="D434" s="647"/>
      <c r="E434" s="647"/>
    </row>
    <row r="435" spans="1:5" s="424" customFormat="1" x14ac:dyDescent="0.25">
      <c r="A435" s="638"/>
      <c r="B435" s="646"/>
      <c r="C435" s="638"/>
      <c r="D435" s="647"/>
      <c r="E435" s="647"/>
    </row>
    <row r="436" spans="1:5" s="424" customFormat="1" x14ac:dyDescent="0.25">
      <c r="A436" s="638"/>
      <c r="B436" s="646"/>
      <c r="C436" s="638"/>
      <c r="D436" s="647"/>
      <c r="E436" s="647"/>
    </row>
    <row r="437" spans="1:5" s="424" customFormat="1" x14ac:dyDescent="0.25">
      <c r="A437" s="638"/>
      <c r="B437" s="646"/>
      <c r="C437" s="638"/>
      <c r="D437" s="647"/>
      <c r="E437" s="647"/>
    </row>
    <row r="438" spans="1:5" s="424" customFormat="1" x14ac:dyDescent="0.25">
      <c r="A438" s="638"/>
      <c r="B438" s="646"/>
      <c r="C438" s="638"/>
      <c r="D438" s="647"/>
      <c r="E438" s="647"/>
    </row>
    <row r="439" spans="1:5" s="424" customFormat="1" x14ac:dyDescent="0.25">
      <c r="A439" s="638"/>
      <c r="B439" s="646"/>
      <c r="C439" s="638"/>
      <c r="D439" s="647"/>
      <c r="E439" s="647"/>
    </row>
    <row r="440" spans="1:5" s="424" customFormat="1" x14ac:dyDescent="0.25">
      <c r="A440" s="638"/>
      <c r="B440" s="646"/>
      <c r="C440" s="638"/>
      <c r="D440" s="647"/>
      <c r="E440" s="647"/>
    </row>
    <row r="441" spans="1:5" s="424" customFormat="1" x14ac:dyDescent="0.25">
      <c r="A441" s="638"/>
      <c r="B441" s="646"/>
      <c r="C441" s="638"/>
      <c r="D441" s="647"/>
      <c r="E441" s="647"/>
    </row>
    <row r="442" spans="1:5" s="424" customFormat="1" x14ac:dyDescent="0.25">
      <c r="A442" s="638"/>
      <c r="B442" s="646"/>
      <c r="C442" s="638"/>
      <c r="D442" s="647"/>
      <c r="E442" s="647"/>
    </row>
    <row r="443" spans="1:5" s="424" customFormat="1" x14ac:dyDescent="0.25">
      <c r="A443" s="638"/>
      <c r="B443" s="646"/>
      <c r="C443" s="638"/>
      <c r="D443" s="647"/>
      <c r="E443" s="647"/>
    </row>
    <row r="444" spans="1:5" s="424" customFormat="1" x14ac:dyDescent="0.25">
      <c r="A444" s="638"/>
      <c r="B444" s="646"/>
      <c r="C444" s="638"/>
      <c r="D444" s="647"/>
      <c r="E444" s="647"/>
    </row>
    <row r="445" spans="1:5" s="424" customFormat="1" x14ac:dyDescent="0.25">
      <c r="A445" s="638"/>
      <c r="B445" s="646"/>
      <c r="C445" s="638"/>
      <c r="D445" s="647"/>
      <c r="E445" s="647"/>
    </row>
    <row r="446" spans="1:5" s="424" customFormat="1" x14ac:dyDescent="0.25">
      <c r="A446" s="638"/>
      <c r="B446" s="646"/>
      <c r="C446" s="638"/>
      <c r="D446" s="647"/>
      <c r="E446" s="647"/>
    </row>
    <row r="447" spans="1:5" s="424" customFormat="1" x14ac:dyDescent="0.25">
      <c r="A447" s="638"/>
      <c r="B447" s="646"/>
      <c r="C447" s="638"/>
      <c r="D447" s="647"/>
      <c r="E447" s="647"/>
    </row>
    <row r="448" spans="1:5" s="424" customFormat="1" x14ac:dyDescent="0.25">
      <c r="A448" s="638"/>
      <c r="B448" s="646"/>
      <c r="C448" s="638"/>
      <c r="D448" s="647"/>
      <c r="E448" s="647"/>
    </row>
    <row r="449" spans="1:5" s="424" customFormat="1" x14ac:dyDescent="0.25">
      <c r="A449" s="638"/>
      <c r="B449" s="646"/>
      <c r="C449" s="638"/>
      <c r="D449" s="647"/>
      <c r="E449" s="647"/>
    </row>
    <row r="450" spans="1:5" s="424" customFormat="1" x14ac:dyDescent="0.25">
      <c r="A450" s="638"/>
      <c r="B450" s="646"/>
      <c r="C450" s="638"/>
      <c r="D450" s="647"/>
      <c r="E450" s="647"/>
    </row>
    <row r="451" spans="1:5" s="424" customFormat="1" x14ac:dyDescent="0.25">
      <c r="A451" s="638"/>
      <c r="B451" s="646"/>
      <c r="C451" s="638"/>
      <c r="D451" s="647"/>
      <c r="E451" s="647"/>
    </row>
    <row r="452" spans="1:5" s="424" customFormat="1" x14ac:dyDescent="0.25">
      <c r="A452" s="638"/>
      <c r="B452" s="646"/>
      <c r="C452" s="638"/>
      <c r="D452" s="647"/>
      <c r="E452" s="647"/>
    </row>
    <row r="453" spans="1:5" s="424" customFormat="1" x14ac:dyDescent="0.25">
      <c r="A453" s="638"/>
      <c r="B453" s="646"/>
      <c r="C453" s="638"/>
      <c r="D453" s="647"/>
      <c r="E453" s="647"/>
    </row>
    <row r="454" spans="1:5" s="424" customFormat="1" x14ac:dyDescent="0.25">
      <c r="A454" s="638"/>
      <c r="B454" s="646"/>
      <c r="C454" s="638"/>
      <c r="D454" s="647"/>
      <c r="E454" s="647"/>
    </row>
    <row r="455" spans="1:5" s="424" customFormat="1" x14ac:dyDescent="0.25">
      <c r="A455" s="638"/>
      <c r="B455" s="646"/>
      <c r="C455" s="638"/>
      <c r="D455" s="647"/>
      <c r="E455" s="647"/>
    </row>
    <row r="456" spans="1:5" s="424" customFormat="1" x14ac:dyDescent="0.25">
      <c r="A456" s="638"/>
      <c r="B456" s="646"/>
      <c r="C456" s="638"/>
      <c r="D456" s="647"/>
      <c r="E456" s="647"/>
    </row>
    <row r="457" spans="1:5" s="424" customFormat="1" x14ac:dyDescent="0.25">
      <c r="A457" s="638"/>
      <c r="B457" s="646"/>
      <c r="C457" s="638"/>
      <c r="D457" s="647"/>
      <c r="E457" s="647"/>
    </row>
    <row r="458" spans="1:5" s="424" customFormat="1" x14ac:dyDescent="0.25">
      <c r="A458" s="638"/>
      <c r="B458" s="646"/>
      <c r="C458" s="638"/>
      <c r="D458" s="647"/>
      <c r="E458" s="647"/>
    </row>
    <row r="459" spans="1:5" s="424" customFormat="1" x14ac:dyDescent="0.25">
      <c r="A459" s="638"/>
      <c r="B459" s="646"/>
      <c r="C459" s="638"/>
      <c r="D459" s="647"/>
      <c r="E459" s="647"/>
    </row>
    <row r="460" spans="1:5" s="424" customFormat="1" x14ac:dyDescent="0.25">
      <c r="A460" s="638"/>
      <c r="B460" s="646"/>
      <c r="C460" s="638"/>
      <c r="D460" s="647"/>
      <c r="E460" s="647"/>
    </row>
    <row r="461" spans="1:5" s="424" customFormat="1" x14ac:dyDescent="0.25">
      <c r="A461" s="638"/>
      <c r="B461" s="646"/>
      <c r="C461" s="638"/>
      <c r="D461" s="647"/>
      <c r="E461" s="647"/>
    </row>
    <row r="462" spans="1:5" s="424" customFormat="1" x14ac:dyDescent="0.25">
      <c r="A462" s="638"/>
      <c r="B462" s="646"/>
      <c r="C462" s="638"/>
      <c r="D462" s="647"/>
      <c r="E462" s="647"/>
    </row>
    <row r="463" spans="1:5" s="424" customFormat="1" x14ac:dyDescent="0.25">
      <c r="A463" s="638"/>
      <c r="B463" s="646"/>
      <c r="C463" s="638"/>
      <c r="D463" s="647"/>
      <c r="E463" s="647"/>
    </row>
    <row r="464" spans="1:5" s="424" customFormat="1" x14ac:dyDescent="0.25">
      <c r="A464" s="638"/>
      <c r="B464" s="646"/>
      <c r="C464" s="638"/>
      <c r="D464" s="647"/>
      <c r="E464" s="647"/>
    </row>
    <row r="465" spans="1:5" s="424" customFormat="1" x14ac:dyDescent="0.25">
      <c r="A465" s="638"/>
      <c r="B465" s="646"/>
      <c r="C465" s="638"/>
      <c r="D465" s="647"/>
      <c r="E465" s="647"/>
    </row>
    <row r="466" spans="1:5" s="424" customFormat="1" x14ac:dyDescent="0.25">
      <c r="A466" s="638"/>
      <c r="B466" s="646"/>
      <c r="C466" s="638"/>
      <c r="D466" s="647"/>
      <c r="E466" s="647"/>
    </row>
    <row r="467" spans="1:5" s="424" customFormat="1" x14ac:dyDescent="0.25">
      <c r="A467" s="638"/>
      <c r="B467" s="646"/>
      <c r="C467" s="638"/>
      <c r="D467" s="647"/>
      <c r="E467" s="647"/>
    </row>
    <row r="468" spans="1:5" s="424" customFormat="1" x14ac:dyDescent="0.25">
      <c r="A468" s="638"/>
      <c r="B468" s="646"/>
      <c r="C468" s="638"/>
      <c r="D468" s="647"/>
      <c r="E468" s="647"/>
    </row>
    <row r="469" spans="1:5" s="424" customFormat="1" x14ac:dyDescent="0.25">
      <c r="A469" s="638"/>
      <c r="B469" s="646"/>
      <c r="C469" s="638"/>
      <c r="D469" s="647"/>
      <c r="E469" s="647"/>
    </row>
    <row r="470" spans="1:5" s="424" customFormat="1" x14ac:dyDescent="0.25">
      <c r="A470" s="638"/>
      <c r="B470" s="646"/>
      <c r="C470" s="638"/>
      <c r="D470" s="647"/>
      <c r="E470" s="647"/>
    </row>
    <row r="471" spans="1:5" s="424" customFormat="1" x14ac:dyDescent="0.25">
      <c r="A471" s="638"/>
      <c r="B471" s="646"/>
      <c r="C471" s="638"/>
      <c r="D471" s="647"/>
      <c r="E471" s="647"/>
    </row>
    <row r="472" spans="1:5" s="424" customFormat="1" x14ac:dyDescent="0.25">
      <c r="A472" s="638"/>
      <c r="B472" s="646"/>
      <c r="C472" s="638"/>
      <c r="D472" s="647"/>
      <c r="E472" s="647"/>
    </row>
    <row r="473" spans="1:5" s="424" customFormat="1" x14ac:dyDescent="0.25">
      <c r="A473" s="638"/>
      <c r="B473" s="646"/>
      <c r="C473" s="638"/>
      <c r="D473" s="647"/>
      <c r="E473" s="647"/>
    </row>
    <row r="474" spans="1:5" s="424" customFormat="1" x14ac:dyDescent="0.25">
      <c r="A474" s="638"/>
      <c r="B474" s="646"/>
      <c r="C474" s="638"/>
      <c r="D474" s="647"/>
      <c r="E474" s="647"/>
    </row>
    <row r="475" spans="1:5" s="424" customFormat="1" x14ac:dyDescent="0.25">
      <c r="A475" s="638"/>
      <c r="B475" s="646"/>
      <c r="C475" s="638"/>
      <c r="D475" s="647"/>
      <c r="E475" s="647"/>
    </row>
    <row r="476" spans="1:5" s="424" customFormat="1" x14ac:dyDescent="0.25">
      <c r="A476" s="638"/>
      <c r="B476" s="646"/>
      <c r="C476" s="638"/>
      <c r="D476" s="647"/>
      <c r="E476" s="647"/>
    </row>
    <row r="477" spans="1:5" s="424" customFormat="1" x14ac:dyDescent="0.25">
      <c r="A477" s="638"/>
      <c r="B477" s="646"/>
      <c r="C477" s="638"/>
      <c r="D477" s="647"/>
      <c r="E477" s="647"/>
    </row>
    <row r="478" spans="1:5" s="424" customFormat="1" x14ac:dyDescent="0.25">
      <c r="A478" s="638"/>
      <c r="B478" s="646"/>
      <c r="C478" s="638"/>
      <c r="D478" s="647"/>
      <c r="E478" s="647"/>
    </row>
    <row r="479" spans="1:5" s="424" customFormat="1" x14ac:dyDescent="0.25">
      <c r="A479" s="638"/>
      <c r="B479" s="646"/>
      <c r="C479" s="638"/>
      <c r="D479" s="647"/>
      <c r="E479" s="647"/>
    </row>
    <row r="480" spans="1:5" s="424" customFormat="1" x14ac:dyDescent="0.25">
      <c r="A480" s="638"/>
      <c r="B480" s="646"/>
      <c r="C480" s="638"/>
      <c r="D480" s="647"/>
      <c r="E480" s="647"/>
    </row>
    <row r="481" spans="1:5" s="424" customFormat="1" x14ac:dyDescent="0.25">
      <c r="A481" s="638"/>
      <c r="B481" s="646"/>
      <c r="C481" s="638"/>
      <c r="D481" s="647"/>
      <c r="E481" s="647"/>
    </row>
    <row r="482" spans="1:5" s="424" customFormat="1" x14ac:dyDescent="0.25">
      <c r="A482" s="638"/>
      <c r="B482" s="646"/>
      <c r="C482" s="638"/>
      <c r="D482" s="647"/>
      <c r="E482" s="647"/>
    </row>
    <row r="483" spans="1:5" s="424" customFormat="1" x14ac:dyDescent="0.25">
      <c r="A483" s="638"/>
      <c r="B483" s="646"/>
      <c r="C483" s="638"/>
      <c r="D483" s="647"/>
      <c r="E483" s="647"/>
    </row>
    <row r="484" spans="1:5" s="424" customFormat="1" x14ac:dyDescent="0.25">
      <c r="A484" s="638"/>
      <c r="B484" s="646"/>
      <c r="C484" s="638"/>
      <c r="D484" s="647"/>
      <c r="E484" s="647"/>
    </row>
    <row r="485" spans="1:5" s="424" customFormat="1" x14ac:dyDescent="0.25">
      <c r="A485" s="638"/>
      <c r="B485" s="646"/>
      <c r="C485" s="638"/>
      <c r="D485" s="647"/>
      <c r="E485" s="647"/>
    </row>
    <row r="486" spans="1:5" s="424" customFormat="1" x14ac:dyDescent="0.25">
      <c r="A486" s="638"/>
      <c r="B486" s="646"/>
      <c r="C486" s="638"/>
      <c r="D486" s="647"/>
      <c r="E486" s="647"/>
    </row>
    <row r="487" spans="1:5" s="424" customFormat="1" x14ac:dyDescent="0.25">
      <c r="A487" s="638"/>
      <c r="B487" s="646"/>
      <c r="C487" s="638"/>
      <c r="D487" s="647"/>
      <c r="E487" s="647"/>
    </row>
    <row r="488" spans="1:5" s="424" customFormat="1" x14ac:dyDescent="0.25">
      <c r="A488" s="638"/>
      <c r="B488" s="646"/>
      <c r="C488" s="638"/>
      <c r="D488" s="647"/>
      <c r="E488" s="647"/>
    </row>
    <row r="489" spans="1:5" s="424" customFormat="1" x14ac:dyDescent="0.25">
      <c r="A489" s="638"/>
      <c r="B489" s="646"/>
      <c r="C489" s="638"/>
      <c r="D489" s="647"/>
      <c r="E489" s="647"/>
    </row>
    <row r="490" spans="1:5" s="424" customFormat="1" x14ac:dyDescent="0.25">
      <c r="A490" s="638"/>
      <c r="B490" s="646"/>
      <c r="C490" s="638"/>
      <c r="D490" s="647"/>
      <c r="E490" s="647"/>
    </row>
    <row r="491" spans="1:5" s="424" customFormat="1" x14ac:dyDescent="0.25">
      <c r="A491" s="638"/>
      <c r="B491" s="646"/>
      <c r="C491" s="638"/>
      <c r="D491" s="647"/>
      <c r="E491" s="647"/>
    </row>
    <row r="492" spans="1:5" s="424" customFormat="1" x14ac:dyDescent="0.25">
      <c r="A492" s="638"/>
      <c r="B492" s="646"/>
      <c r="C492" s="638"/>
      <c r="D492" s="647"/>
      <c r="E492" s="647"/>
    </row>
    <row r="493" spans="1:5" s="424" customFormat="1" x14ac:dyDescent="0.25">
      <c r="A493" s="638"/>
      <c r="B493" s="646"/>
      <c r="C493" s="638"/>
      <c r="D493" s="647"/>
      <c r="E493" s="647"/>
    </row>
    <row r="494" spans="1:5" s="424" customFormat="1" x14ac:dyDescent="0.25">
      <c r="A494" s="638"/>
      <c r="B494" s="646"/>
      <c r="C494" s="638"/>
      <c r="D494" s="647"/>
      <c r="E494" s="647"/>
    </row>
    <row r="495" spans="1:5" s="424" customFormat="1" x14ac:dyDescent="0.25">
      <c r="A495" s="638"/>
      <c r="B495" s="646"/>
      <c r="C495" s="638"/>
      <c r="D495" s="647"/>
      <c r="E495" s="647"/>
    </row>
    <row r="496" spans="1:5" s="424" customFormat="1" x14ac:dyDescent="0.25">
      <c r="A496" s="638"/>
      <c r="B496" s="646"/>
      <c r="C496" s="638"/>
      <c r="D496" s="647"/>
      <c r="E496" s="647"/>
    </row>
    <row r="497" spans="1:5" s="424" customFormat="1" x14ac:dyDescent="0.25">
      <c r="A497" s="638"/>
      <c r="B497" s="646"/>
      <c r="C497" s="638"/>
      <c r="D497" s="647"/>
      <c r="E497" s="647"/>
    </row>
    <row r="498" spans="1:5" s="424" customFormat="1" x14ac:dyDescent="0.25">
      <c r="A498" s="638"/>
      <c r="B498" s="646"/>
      <c r="C498" s="638"/>
      <c r="D498" s="647"/>
      <c r="E498" s="647"/>
    </row>
    <row r="499" spans="1:5" s="424" customFormat="1" x14ac:dyDescent="0.25">
      <c r="A499" s="638"/>
      <c r="B499" s="646"/>
      <c r="C499" s="638"/>
      <c r="D499" s="647"/>
      <c r="E499" s="647"/>
    </row>
    <row r="500" spans="1:5" s="424" customFormat="1" x14ac:dyDescent="0.25">
      <c r="A500" s="638"/>
      <c r="B500" s="646"/>
      <c r="C500" s="638"/>
      <c r="D500" s="647"/>
      <c r="E500" s="647"/>
    </row>
    <row r="501" spans="1:5" s="424" customFormat="1" x14ac:dyDescent="0.25">
      <c r="A501" s="638"/>
      <c r="B501" s="646"/>
      <c r="C501" s="638"/>
      <c r="D501" s="647"/>
      <c r="E501" s="647"/>
    </row>
    <row r="502" spans="1:5" s="424" customFormat="1" x14ac:dyDescent="0.25">
      <c r="A502" s="638"/>
      <c r="B502" s="646"/>
      <c r="C502" s="638"/>
      <c r="D502" s="647"/>
      <c r="E502" s="647"/>
    </row>
    <row r="503" spans="1:5" s="424" customFormat="1" x14ac:dyDescent="0.25">
      <c r="A503" s="638"/>
      <c r="B503" s="646"/>
      <c r="C503" s="638"/>
      <c r="D503" s="647"/>
      <c r="E503" s="647"/>
    </row>
    <row r="504" spans="1:5" s="424" customFormat="1" x14ac:dyDescent="0.25">
      <c r="A504" s="638"/>
      <c r="B504" s="646"/>
      <c r="C504" s="638"/>
      <c r="D504" s="647"/>
      <c r="E504" s="647"/>
    </row>
    <row r="505" spans="1:5" s="424" customFormat="1" x14ac:dyDescent="0.25">
      <c r="A505" s="638"/>
      <c r="B505" s="646"/>
      <c r="C505" s="638"/>
      <c r="D505" s="647"/>
      <c r="E505" s="647"/>
    </row>
    <row r="506" spans="1:5" s="424" customFormat="1" x14ac:dyDescent="0.25">
      <c r="A506" s="638"/>
      <c r="B506" s="646"/>
      <c r="C506" s="638"/>
      <c r="D506" s="647"/>
      <c r="E506" s="647"/>
    </row>
    <row r="507" spans="1:5" s="424" customFormat="1" x14ac:dyDescent="0.25">
      <c r="A507" s="638"/>
      <c r="B507" s="646"/>
      <c r="C507" s="638"/>
      <c r="D507" s="647"/>
      <c r="E507" s="647"/>
    </row>
    <row r="508" spans="1:5" s="424" customFormat="1" x14ac:dyDescent="0.25">
      <c r="A508" s="638"/>
      <c r="B508" s="646"/>
      <c r="C508" s="638"/>
      <c r="D508" s="647"/>
      <c r="E508" s="647"/>
    </row>
    <row r="509" spans="1:5" s="424" customFormat="1" x14ac:dyDescent="0.25">
      <c r="A509" s="638"/>
      <c r="B509" s="646"/>
      <c r="C509" s="638"/>
      <c r="D509" s="647"/>
      <c r="E509" s="647"/>
    </row>
    <row r="510" spans="1:5" s="424" customFormat="1" x14ac:dyDescent="0.25">
      <c r="A510" s="638"/>
      <c r="B510" s="646"/>
      <c r="C510" s="638"/>
      <c r="D510" s="647"/>
      <c r="E510" s="647"/>
    </row>
    <row r="511" spans="1:5" s="424" customFormat="1" x14ac:dyDescent="0.25">
      <c r="A511" s="638"/>
      <c r="B511" s="646"/>
      <c r="C511" s="638"/>
      <c r="D511" s="647"/>
      <c r="E511" s="647"/>
    </row>
    <row r="512" spans="1:5" s="424" customFormat="1" x14ac:dyDescent="0.25">
      <c r="A512" s="638"/>
      <c r="B512" s="646"/>
      <c r="C512" s="638"/>
      <c r="D512" s="647"/>
      <c r="E512" s="647"/>
    </row>
    <row r="513" spans="1:5" s="424" customFormat="1" x14ac:dyDescent="0.25">
      <c r="A513" s="638"/>
      <c r="B513" s="646"/>
      <c r="C513" s="638"/>
      <c r="D513" s="647"/>
      <c r="E513" s="647"/>
    </row>
    <row r="514" spans="1:5" s="424" customFormat="1" x14ac:dyDescent="0.25">
      <c r="A514" s="638"/>
      <c r="B514" s="646"/>
      <c r="C514" s="638"/>
      <c r="D514" s="647"/>
      <c r="E514" s="647"/>
    </row>
    <row r="515" spans="1:5" s="424" customFormat="1" x14ac:dyDescent="0.25">
      <c r="A515" s="638"/>
      <c r="B515" s="646"/>
      <c r="C515" s="638"/>
      <c r="D515" s="647"/>
      <c r="E515" s="647"/>
    </row>
    <row r="516" spans="1:5" s="424" customFormat="1" x14ac:dyDescent="0.25">
      <c r="A516" s="638"/>
      <c r="B516" s="646"/>
      <c r="C516" s="638"/>
      <c r="D516" s="647"/>
      <c r="E516" s="647"/>
    </row>
    <row r="517" spans="1:5" s="424" customFormat="1" x14ac:dyDescent="0.25">
      <c r="A517" s="638"/>
      <c r="B517" s="646"/>
      <c r="C517" s="638"/>
      <c r="D517" s="647"/>
      <c r="E517" s="647"/>
    </row>
    <row r="518" spans="1:5" s="424" customFormat="1" x14ac:dyDescent="0.25">
      <c r="A518" s="638"/>
      <c r="B518" s="646"/>
      <c r="C518" s="638"/>
      <c r="D518" s="647"/>
      <c r="E518" s="647"/>
    </row>
    <row r="519" spans="1:5" s="424" customFormat="1" x14ac:dyDescent="0.25">
      <c r="A519" s="638"/>
      <c r="B519" s="646"/>
      <c r="C519" s="638"/>
      <c r="D519" s="647"/>
      <c r="E519" s="647"/>
    </row>
    <row r="520" spans="1:5" s="424" customFormat="1" x14ac:dyDescent="0.25">
      <c r="A520" s="638"/>
      <c r="B520" s="646"/>
      <c r="C520" s="638"/>
      <c r="D520" s="647"/>
      <c r="E520" s="647"/>
    </row>
    <row r="521" spans="1:5" s="424" customFormat="1" x14ac:dyDescent="0.25">
      <c r="A521" s="638"/>
      <c r="B521" s="646"/>
      <c r="C521" s="638"/>
      <c r="D521" s="647"/>
      <c r="E521" s="647"/>
    </row>
    <row r="522" spans="1:5" s="424" customFormat="1" x14ac:dyDescent="0.25">
      <c r="A522" s="638"/>
      <c r="B522" s="646"/>
      <c r="C522" s="638"/>
      <c r="D522" s="647"/>
      <c r="E522" s="647"/>
    </row>
    <row r="523" spans="1:5" s="424" customFormat="1" x14ac:dyDescent="0.25">
      <c r="A523" s="638"/>
      <c r="B523" s="646"/>
      <c r="C523" s="638"/>
      <c r="D523" s="647"/>
      <c r="E523" s="647"/>
    </row>
    <row r="524" spans="1:5" s="424" customFormat="1" x14ac:dyDescent="0.25">
      <c r="A524" s="638"/>
      <c r="B524" s="646"/>
      <c r="C524" s="638"/>
      <c r="D524" s="647"/>
      <c r="E524" s="647"/>
    </row>
    <row r="525" spans="1:5" s="424" customFormat="1" x14ac:dyDescent="0.25">
      <c r="A525" s="638"/>
      <c r="B525" s="646"/>
      <c r="C525" s="638"/>
      <c r="D525" s="647"/>
      <c r="E525" s="647"/>
    </row>
    <row r="526" spans="1:5" s="424" customFormat="1" x14ac:dyDescent="0.25">
      <c r="A526" s="638"/>
      <c r="B526" s="646"/>
      <c r="C526" s="638"/>
      <c r="D526" s="647"/>
      <c r="E526" s="647"/>
    </row>
    <row r="527" spans="1:5" s="424" customFormat="1" x14ac:dyDescent="0.25">
      <c r="A527" s="638"/>
      <c r="B527" s="646"/>
      <c r="C527" s="638"/>
      <c r="D527" s="647"/>
      <c r="E527" s="647"/>
    </row>
    <row r="528" spans="1:5" s="424" customFormat="1" x14ac:dyDescent="0.25">
      <c r="A528" s="638"/>
      <c r="B528" s="646"/>
      <c r="C528" s="638"/>
      <c r="D528" s="647"/>
      <c r="E528" s="647"/>
    </row>
    <row r="529" spans="1:5" s="424" customFormat="1" x14ac:dyDescent="0.25">
      <c r="A529" s="638"/>
      <c r="B529" s="646"/>
      <c r="C529" s="638"/>
      <c r="D529" s="647"/>
      <c r="E529" s="647"/>
    </row>
    <row r="530" spans="1:5" s="424" customFormat="1" x14ac:dyDescent="0.25">
      <c r="A530" s="638"/>
      <c r="B530" s="646"/>
      <c r="C530" s="638"/>
      <c r="D530" s="647"/>
      <c r="E530" s="647"/>
    </row>
    <row r="531" spans="1:5" s="424" customFormat="1" x14ac:dyDescent="0.25">
      <c r="A531" s="638"/>
      <c r="B531" s="646"/>
      <c r="C531" s="638"/>
      <c r="D531" s="647"/>
      <c r="E531" s="647"/>
    </row>
    <row r="532" spans="1:5" s="424" customFormat="1" x14ac:dyDescent="0.25">
      <c r="A532" s="638"/>
      <c r="B532" s="646"/>
      <c r="C532" s="638"/>
      <c r="D532" s="647"/>
      <c r="E532" s="647"/>
    </row>
    <row r="533" spans="1:5" s="424" customFormat="1" x14ac:dyDescent="0.25">
      <c r="A533" s="638"/>
      <c r="B533" s="646"/>
      <c r="C533" s="638"/>
      <c r="D533" s="647"/>
      <c r="E533" s="647"/>
    </row>
    <row r="534" spans="1:5" s="424" customFormat="1" x14ac:dyDescent="0.25">
      <c r="A534" s="638"/>
      <c r="B534" s="646"/>
      <c r="C534" s="638"/>
      <c r="D534" s="647"/>
      <c r="E534" s="647"/>
    </row>
    <row r="535" spans="1:5" s="424" customFormat="1" x14ac:dyDescent="0.25">
      <c r="A535" s="638"/>
      <c r="B535" s="646"/>
      <c r="C535" s="638"/>
      <c r="D535" s="647"/>
      <c r="E535" s="647"/>
    </row>
    <row r="536" spans="1:5" s="424" customFormat="1" x14ac:dyDescent="0.25">
      <c r="A536" s="638"/>
      <c r="B536" s="646"/>
      <c r="C536" s="638"/>
      <c r="D536" s="647"/>
      <c r="E536" s="647"/>
    </row>
    <row r="537" spans="1:5" s="424" customFormat="1" x14ac:dyDescent="0.25">
      <c r="A537" s="638"/>
      <c r="B537" s="646"/>
      <c r="C537" s="638"/>
      <c r="D537" s="647"/>
      <c r="E537" s="647"/>
    </row>
    <row r="538" spans="1:5" s="424" customFormat="1" x14ac:dyDescent="0.25">
      <c r="A538" s="638"/>
      <c r="B538" s="646"/>
      <c r="C538" s="638"/>
      <c r="D538" s="647"/>
      <c r="E538" s="647"/>
    </row>
    <row r="539" spans="1:5" s="424" customFormat="1" x14ac:dyDescent="0.25">
      <c r="A539" s="638"/>
      <c r="B539" s="646"/>
      <c r="C539" s="638"/>
      <c r="D539" s="647"/>
      <c r="E539" s="647"/>
    </row>
    <row r="540" spans="1:5" s="424" customFormat="1" x14ac:dyDescent="0.25">
      <c r="A540" s="638"/>
      <c r="B540" s="646"/>
      <c r="C540" s="638"/>
      <c r="D540" s="647"/>
      <c r="E540" s="647"/>
    </row>
    <row r="541" spans="1:5" s="424" customFormat="1" x14ac:dyDescent="0.25">
      <c r="A541" s="638"/>
      <c r="B541" s="646"/>
      <c r="C541" s="638"/>
      <c r="D541" s="647"/>
      <c r="E541" s="647"/>
    </row>
    <row r="542" spans="1:5" s="424" customFormat="1" x14ac:dyDescent="0.25">
      <c r="A542" s="638"/>
      <c r="B542" s="646"/>
      <c r="C542" s="638"/>
      <c r="D542" s="647"/>
      <c r="E542" s="647"/>
    </row>
    <row r="543" spans="1:5" s="424" customFormat="1" x14ac:dyDescent="0.25">
      <c r="A543" s="638"/>
      <c r="B543" s="646"/>
      <c r="C543" s="638"/>
      <c r="D543" s="647"/>
      <c r="E543" s="647"/>
    </row>
    <row r="544" spans="1:5" s="424" customFormat="1" x14ac:dyDescent="0.25">
      <c r="A544" s="638"/>
      <c r="B544" s="646"/>
      <c r="C544" s="638"/>
      <c r="D544" s="647"/>
      <c r="E544" s="647"/>
    </row>
    <row r="545" spans="1:5" s="424" customFormat="1" x14ac:dyDescent="0.25">
      <c r="A545" s="638"/>
      <c r="B545" s="646"/>
      <c r="C545" s="638"/>
      <c r="D545" s="647"/>
      <c r="E545" s="647"/>
    </row>
    <row r="546" spans="1:5" s="424" customFormat="1" x14ac:dyDescent="0.25">
      <c r="A546" s="638"/>
      <c r="B546" s="646"/>
      <c r="C546" s="638"/>
      <c r="D546" s="647"/>
      <c r="E546" s="647"/>
    </row>
    <row r="547" spans="1:5" s="424" customFormat="1" x14ac:dyDescent="0.25">
      <c r="A547" s="638"/>
      <c r="B547" s="646"/>
      <c r="C547" s="638"/>
      <c r="D547" s="647"/>
      <c r="E547" s="647"/>
    </row>
    <row r="548" spans="1:5" s="424" customFormat="1" x14ac:dyDescent="0.25">
      <c r="A548" s="638"/>
      <c r="B548" s="646"/>
      <c r="C548" s="638"/>
      <c r="D548" s="647"/>
      <c r="E548" s="647"/>
    </row>
    <row r="549" spans="1:5" s="424" customFormat="1" x14ac:dyDescent="0.25">
      <c r="A549" s="638"/>
      <c r="B549" s="646"/>
      <c r="C549" s="638"/>
      <c r="D549" s="647"/>
      <c r="E549" s="647"/>
    </row>
    <row r="550" spans="1:5" s="424" customFormat="1" x14ac:dyDescent="0.25">
      <c r="A550" s="638"/>
      <c r="B550" s="646"/>
      <c r="C550" s="638"/>
      <c r="D550" s="647"/>
      <c r="E550" s="647"/>
    </row>
    <row r="551" spans="1:5" s="424" customFormat="1" x14ac:dyDescent="0.25">
      <c r="A551" s="638"/>
      <c r="B551" s="646"/>
      <c r="C551" s="638"/>
      <c r="D551" s="647"/>
      <c r="E551" s="647"/>
    </row>
    <row r="552" spans="1:5" s="424" customFormat="1" x14ac:dyDescent="0.25">
      <c r="A552" s="638"/>
      <c r="B552" s="646"/>
      <c r="C552" s="638"/>
      <c r="D552" s="647"/>
      <c r="E552" s="647"/>
    </row>
    <row r="553" spans="1:5" s="424" customFormat="1" x14ac:dyDescent="0.25">
      <c r="A553" s="638"/>
      <c r="B553" s="646"/>
      <c r="C553" s="638"/>
      <c r="D553" s="647"/>
      <c r="E553" s="647"/>
    </row>
    <row r="554" spans="1:5" s="424" customFormat="1" x14ac:dyDescent="0.25">
      <c r="A554" s="638"/>
      <c r="B554" s="646"/>
      <c r="C554" s="638"/>
      <c r="D554" s="647"/>
      <c r="E554" s="647"/>
    </row>
    <row r="555" spans="1:5" s="424" customFormat="1" x14ac:dyDescent="0.25">
      <c r="A555" s="638"/>
      <c r="B555" s="646"/>
      <c r="C555" s="638"/>
      <c r="D555" s="647"/>
      <c r="E555" s="647"/>
    </row>
    <row r="556" spans="1:5" s="424" customFormat="1" x14ac:dyDescent="0.25">
      <c r="A556" s="638"/>
      <c r="B556" s="646"/>
      <c r="C556" s="638"/>
      <c r="D556" s="647"/>
      <c r="E556" s="647"/>
    </row>
    <row r="557" spans="1:5" s="424" customFormat="1" x14ac:dyDescent="0.25">
      <c r="A557" s="638"/>
      <c r="B557" s="646"/>
      <c r="C557" s="638"/>
      <c r="D557" s="647"/>
      <c r="E557" s="647"/>
    </row>
    <row r="558" spans="1:5" s="424" customFormat="1" x14ac:dyDescent="0.25">
      <c r="A558" s="638"/>
      <c r="B558" s="646"/>
      <c r="C558" s="638"/>
      <c r="D558" s="647"/>
      <c r="E558" s="647"/>
    </row>
    <row r="559" spans="1:5" s="424" customFormat="1" x14ac:dyDescent="0.25">
      <c r="A559" s="638"/>
      <c r="B559" s="646"/>
      <c r="C559" s="638"/>
      <c r="D559" s="647"/>
      <c r="E559" s="647"/>
    </row>
    <row r="560" spans="1:5" s="424" customFormat="1" x14ac:dyDescent="0.25">
      <c r="A560" s="638"/>
      <c r="B560" s="646"/>
      <c r="C560" s="638"/>
      <c r="D560" s="647"/>
      <c r="E560" s="647"/>
    </row>
    <row r="561" spans="1:5" s="424" customFormat="1" x14ac:dyDescent="0.25">
      <c r="A561" s="638"/>
      <c r="B561" s="646"/>
      <c r="C561" s="638"/>
      <c r="D561" s="647"/>
      <c r="E561" s="647"/>
    </row>
    <row r="562" spans="1:5" s="424" customFormat="1" x14ac:dyDescent="0.25">
      <c r="A562" s="638"/>
      <c r="B562" s="646"/>
      <c r="C562" s="638"/>
      <c r="D562" s="647"/>
      <c r="E562" s="647"/>
    </row>
    <row r="563" spans="1:5" s="424" customFormat="1" x14ac:dyDescent="0.25">
      <c r="A563" s="638"/>
      <c r="B563" s="646"/>
      <c r="C563" s="638"/>
      <c r="D563" s="647"/>
      <c r="E563" s="647"/>
    </row>
  </sheetData>
  <conditionalFormatting sqref="F75:L81">
    <cfRule type="colorScale" priority="1">
      <colorScale>
        <cfvo type="min"/>
        <cfvo type="percentile" val="50"/>
        <cfvo type="max"/>
        <color rgb="FF5A8AC6"/>
        <color rgb="FFFCFCFF"/>
        <color rgb="FFF8696B"/>
      </colorScale>
    </cfRule>
  </conditionalFormatting>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'2-Valuation DCF'!$R$77</xm:f>
          </x14:formula1>
          <xm:sqref>E164:E166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499984740745262"/>
  </sheetPr>
  <dimension ref="A2:U258"/>
  <sheetViews>
    <sheetView showGridLines="0" tabSelected="1" topLeftCell="A156" zoomScale="120" zoomScaleNormal="120" workbookViewId="0">
      <selection activeCell="F173" sqref="F173"/>
    </sheetView>
  </sheetViews>
  <sheetFormatPr defaultColWidth="10.7109375" defaultRowHeight="12.75" outlineLevelRow="1" x14ac:dyDescent="0.2"/>
  <cols>
    <col min="1" max="1" width="1.7109375" style="5" customWidth="1"/>
    <col min="2" max="2" width="3" style="3" customWidth="1"/>
    <col min="3" max="3" width="49.28515625" style="5" customWidth="1"/>
    <col min="4" max="4" width="16.28515625" style="78" customWidth="1"/>
    <col min="5" max="5" width="16.140625" style="5" customWidth="1"/>
    <col min="6" max="6" width="12.140625" style="5" customWidth="1"/>
    <col min="7" max="7" width="12.140625" style="6" customWidth="1"/>
    <col min="8" max="15" width="12.140625" style="5" customWidth="1"/>
    <col min="16" max="16" width="12.85546875" style="5" customWidth="1"/>
    <col min="17" max="17" width="24.28515625" style="5" customWidth="1"/>
    <col min="18" max="18" width="10.7109375" style="5" customWidth="1"/>
    <col min="19" max="19" width="14.85546875" style="5" customWidth="1"/>
    <col min="20" max="20" width="11.28515625" style="5" bestFit="1" customWidth="1"/>
    <col min="21" max="21" width="5.42578125" style="5" bestFit="1" customWidth="1"/>
    <col min="22" max="22" width="10.7109375" style="5"/>
    <col min="23" max="23" width="19.28515625" style="5" bestFit="1" customWidth="1"/>
    <col min="24" max="16384" width="10.7109375" style="5"/>
  </cols>
  <sheetData>
    <row r="2" spans="2:16" s="77" customFormat="1" x14ac:dyDescent="0.2">
      <c r="B2" s="129">
        <v>1</v>
      </c>
      <c r="C2" s="74" t="s">
        <v>117</v>
      </c>
      <c r="D2" s="79"/>
      <c r="E2" s="75"/>
      <c r="F2" s="75"/>
      <c r="G2" s="76"/>
      <c r="H2" s="75"/>
      <c r="I2" s="75"/>
      <c r="J2" s="75"/>
      <c r="K2" s="75"/>
      <c r="L2" s="75"/>
      <c r="M2" s="75"/>
      <c r="N2" s="75"/>
    </row>
    <row r="3" spans="2:16" outlineLevel="1" x14ac:dyDescent="0.2">
      <c r="E3" s="8">
        <v>0</v>
      </c>
      <c r="F3" s="8">
        <f>E3+1</f>
        <v>1</v>
      </c>
      <c r="G3" s="8">
        <f t="shared" ref="G3:K4" si="0">F3+1</f>
        <v>2</v>
      </c>
      <c r="H3" s="8">
        <f t="shared" si="0"/>
        <v>3</v>
      </c>
      <c r="I3" s="8">
        <f t="shared" si="0"/>
        <v>4</v>
      </c>
      <c r="J3" s="8">
        <f t="shared" si="0"/>
        <v>5</v>
      </c>
      <c r="K3" s="8">
        <f t="shared" si="0"/>
        <v>6</v>
      </c>
      <c r="L3" s="8">
        <f t="shared" ref="L3:L4" si="1">K3+1</f>
        <v>7</v>
      </c>
      <c r="M3" s="8">
        <f t="shared" ref="M3:M4" si="2">L3+1</f>
        <v>8</v>
      </c>
      <c r="N3" s="8">
        <f t="shared" ref="N3:N4" si="3">M3+1</f>
        <v>9</v>
      </c>
      <c r="O3" s="8">
        <f t="shared" ref="O3:O4" si="4">N3+1</f>
        <v>10</v>
      </c>
      <c r="P3" s="8"/>
    </row>
    <row r="4" spans="2:16" s="7" customFormat="1" outlineLevel="1" x14ac:dyDescent="0.2">
      <c r="B4" s="10"/>
      <c r="C4" s="7" t="s">
        <v>118</v>
      </c>
      <c r="D4" s="80"/>
      <c r="E4" s="64">
        <f>'1-Cockpit&amp;assumptions'!E86</f>
        <v>2024</v>
      </c>
      <c r="F4" s="64">
        <f>E4+1</f>
        <v>2025</v>
      </c>
      <c r="G4" s="64">
        <f t="shared" si="0"/>
        <v>2026</v>
      </c>
      <c r="H4" s="64">
        <f t="shared" si="0"/>
        <v>2027</v>
      </c>
      <c r="I4" s="64">
        <f t="shared" si="0"/>
        <v>2028</v>
      </c>
      <c r="J4" s="64">
        <f t="shared" si="0"/>
        <v>2029</v>
      </c>
      <c r="K4" s="64">
        <f t="shared" si="0"/>
        <v>2030</v>
      </c>
      <c r="L4" s="64">
        <f t="shared" si="1"/>
        <v>2031</v>
      </c>
      <c r="M4" s="64">
        <f t="shared" si="2"/>
        <v>2032</v>
      </c>
      <c r="N4" s="64">
        <f t="shared" si="3"/>
        <v>2033</v>
      </c>
      <c r="O4" s="64">
        <f t="shared" si="4"/>
        <v>2034</v>
      </c>
      <c r="P4" s="64"/>
    </row>
    <row r="5" spans="2:16" ht="5.25" customHeight="1" outlineLevel="1" x14ac:dyDescent="0.2">
      <c r="C5" s="2"/>
      <c r="D5" s="81"/>
      <c r="E5" s="2"/>
      <c r="F5" s="2"/>
      <c r="G5" s="2"/>
      <c r="H5" s="2"/>
      <c r="I5" s="2"/>
      <c r="J5" s="2"/>
      <c r="K5" s="2"/>
    </row>
    <row r="6" spans="2:16" s="1" customFormat="1" ht="12" customHeight="1" outlineLevel="1" x14ac:dyDescent="0.2">
      <c r="B6" s="11"/>
      <c r="C6" s="56" t="s">
        <v>119</v>
      </c>
      <c r="D6" s="82"/>
      <c r="E6" s="57"/>
      <c r="F6" s="57"/>
      <c r="G6" s="57"/>
      <c r="H6" s="57"/>
      <c r="I6" s="57"/>
      <c r="J6" s="57"/>
      <c r="K6" s="57"/>
      <c r="L6" s="8"/>
      <c r="M6" s="8"/>
      <c r="N6" s="8"/>
      <c r="O6" s="8"/>
      <c r="P6" s="8"/>
    </row>
    <row r="7" spans="2:16" outlineLevel="1" x14ac:dyDescent="0.2">
      <c r="C7" s="2" t="s">
        <v>55</v>
      </c>
      <c r="D7" s="350">
        <f>'1-Cockpit&amp;assumptions'!E117</f>
        <v>1.4999999999999999E-2</v>
      </c>
      <c r="E7" s="6"/>
      <c r="F7" s="84"/>
      <c r="G7" s="84"/>
      <c r="H7" s="84"/>
      <c r="I7" s="84"/>
      <c r="J7" s="84"/>
      <c r="K7" s="84"/>
      <c r="L7" s="84"/>
      <c r="M7" s="84"/>
      <c r="N7" s="84"/>
      <c r="O7" s="84"/>
      <c r="P7" s="84"/>
    </row>
    <row r="8" spans="2:16" outlineLevel="1" x14ac:dyDescent="0.2">
      <c r="C8" s="2" t="s">
        <v>120</v>
      </c>
      <c r="D8" s="350">
        <f>'1-Cockpit&amp;assumptions'!E118</f>
        <v>0.08</v>
      </c>
      <c r="E8" s="58"/>
      <c r="F8" s="58"/>
      <c r="G8" s="58"/>
      <c r="H8" s="58"/>
      <c r="I8" s="58"/>
      <c r="J8" s="58"/>
      <c r="K8" s="58"/>
    </row>
    <row r="9" spans="2:16" outlineLevel="1" x14ac:dyDescent="0.2">
      <c r="C9" s="2" t="s">
        <v>65</v>
      </c>
      <c r="D9" s="351">
        <f>'1-Cockpit&amp;assumptions'!E125</f>
        <v>7</v>
      </c>
      <c r="E9" s="58"/>
      <c r="F9" s="58"/>
      <c r="G9" s="58"/>
      <c r="H9" s="58"/>
      <c r="I9" s="58"/>
      <c r="J9" s="58"/>
      <c r="K9" s="58"/>
    </row>
    <row r="10" spans="2:16" s="1" customFormat="1" outlineLevel="1" x14ac:dyDescent="0.2">
      <c r="B10" s="11"/>
      <c r="C10" s="56" t="s">
        <v>121</v>
      </c>
      <c r="D10" s="157"/>
      <c r="E10" s="722">
        <f>'1-Cockpit&amp;assumptions'!E110</f>
        <v>170</v>
      </c>
      <c r="F10" s="723">
        <f>E10*(1+F11)</f>
        <v>190.4</v>
      </c>
      <c r="G10" s="723">
        <f t="shared" ref="G10:O10" si="5">F10*(1+G11)</f>
        <v>207.53600000000003</v>
      </c>
      <c r="H10" s="723">
        <f t="shared" si="5"/>
        <v>226.21424000000005</v>
      </c>
      <c r="I10" s="723">
        <f t="shared" si="5"/>
        <v>242.04923680000007</v>
      </c>
      <c r="J10" s="723">
        <f t="shared" si="5"/>
        <v>258.99268337600012</v>
      </c>
      <c r="K10" s="723">
        <f t="shared" si="5"/>
        <v>277.12217121232015</v>
      </c>
      <c r="L10" s="723">
        <f t="shared" si="5"/>
        <v>290.97827977293616</v>
      </c>
      <c r="M10" s="723">
        <f t="shared" si="5"/>
        <v>305.52719376158296</v>
      </c>
      <c r="N10" s="723">
        <f t="shared" si="5"/>
        <v>311.63773763681462</v>
      </c>
      <c r="O10" s="723">
        <f t="shared" si="5"/>
        <v>317.87049238955092</v>
      </c>
      <c r="P10" s="61"/>
    </row>
    <row r="11" spans="2:16" outlineLevel="1" x14ac:dyDescent="0.2">
      <c r="C11" s="2" t="s">
        <v>49</v>
      </c>
      <c r="D11" s="81"/>
      <c r="E11" s="724"/>
      <c r="F11" s="725">
        <f>'1-Cockpit&amp;assumptions'!F111</f>
        <v>0.12</v>
      </c>
      <c r="G11" s="725">
        <f>'1-Cockpit&amp;assumptions'!G111</f>
        <v>0.09</v>
      </c>
      <c r="H11" s="725">
        <f>'1-Cockpit&amp;assumptions'!H111</f>
        <v>0.09</v>
      </c>
      <c r="I11" s="725">
        <f>'1-Cockpit&amp;assumptions'!I111</f>
        <v>7.0000000000000007E-2</v>
      </c>
      <c r="J11" s="725">
        <f>'1-Cockpit&amp;assumptions'!J111</f>
        <v>7.0000000000000007E-2</v>
      </c>
      <c r="K11" s="725">
        <f>'1-Cockpit&amp;assumptions'!K111</f>
        <v>7.0000000000000007E-2</v>
      </c>
      <c r="L11" s="725">
        <f>'1-Cockpit&amp;assumptions'!L111</f>
        <v>0.05</v>
      </c>
      <c r="M11" s="725">
        <f>'1-Cockpit&amp;assumptions'!M111</f>
        <v>0.05</v>
      </c>
      <c r="N11" s="725">
        <f>'1-Cockpit&amp;assumptions'!N111</f>
        <v>0.02</v>
      </c>
      <c r="O11" s="725">
        <f>'1-Cockpit&amp;assumptions'!O111</f>
        <v>0.02</v>
      </c>
      <c r="P11" s="724"/>
    </row>
    <row r="12" spans="2:16" outlineLevel="1" x14ac:dyDescent="0.2">
      <c r="C12" s="2" t="s">
        <v>70</v>
      </c>
      <c r="D12" s="81"/>
      <c r="E12" s="726">
        <f>'1-Cockpit&amp;assumptions'!E112</f>
        <v>0.45</v>
      </c>
      <c r="F12" s="726">
        <f>'1-Cockpit&amp;assumptions'!F112</f>
        <v>0.47</v>
      </c>
      <c r="G12" s="726">
        <f>'1-Cockpit&amp;assumptions'!G112</f>
        <v>0.5</v>
      </c>
      <c r="H12" s="726">
        <f>'1-Cockpit&amp;assumptions'!H112</f>
        <v>0.5</v>
      </c>
      <c r="I12" s="726">
        <f>'1-Cockpit&amp;assumptions'!I112</f>
        <v>0.52</v>
      </c>
      <c r="J12" s="726">
        <f>'1-Cockpit&amp;assumptions'!J112</f>
        <v>0.52</v>
      </c>
      <c r="K12" s="726">
        <f>'1-Cockpit&amp;assumptions'!K112</f>
        <v>0.47</v>
      </c>
      <c r="L12" s="726">
        <f>'1-Cockpit&amp;assumptions'!L112</f>
        <v>0.42</v>
      </c>
      <c r="M12" s="726">
        <f>'1-Cockpit&amp;assumptions'!M112</f>
        <v>0.42</v>
      </c>
      <c r="N12" s="726">
        <f>'1-Cockpit&amp;assumptions'!N112</f>
        <v>0.42</v>
      </c>
      <c r="O12" s="726">
        <f>'1-Cockpit&amp;assumptions'!O112</f>
        <v>0.42</v>
      </c>
      <c r="P12" s="85"/>
    </row>
    <row r="13" spans="2:16" outlineLevel="1" x14ac:dyDescent="0.2">
      <c r="C13" s="56" t="s">
        <v>122</v>
      </c>
      <c r="D13" s="82"/>
      <c r="E13" s="722">
        <f>E10*E12</f>
        <v>76.5</v>
      </c>
      <c r="F13" s="722">
        <f t="shared" ref="F13:O13" si="6">F10*F12</f>
        <v>89.488</v>
      </c>
      <c r="G13" s="722">
        <f t="shared" si="6"/>
        <v>103.76800000000001</v>
      </c>
      <c r="H13" s="722">
        <f t="shared" si="6"/>
        <v>113.10712000000002</v>
      </c>
      <c r="I13" s="722">
        <f t="shared" si="6"/>
        <v>125.86560313600005</v>
      </c>
      <c r="J13" s="722">
        <f t="shared" si="6"/>
        <v>134.67619535552006</v>
      </c>
      <c r="K13" s="722">
        <f t="shared" si="6"/>
        <v>130.24742046979046</v>
      </c>
      <c r="L13" s="722">
        <f t="shared" si="6"/>
        <v>122.21087750463319</v>
      </c>
      <c r="M13" s="722">
        <f t="shared" si="6"/>
        <v>128.32142137986483</v>
      </c>
      <c r="N13" s="722">
        <f t="shared" si="6"/>
        <v>130.88784980746215</v>
      </c>
      <c r="O13" s="722">
        <f t="shared" si="6"/>
        <v>133.50560680361139</v>
      </c>
      <c r="P13" s="59"/>
    </row>
    <row r="14" spans="2:16" ht="15" outlineLevel="1" x14ac:dyDescent="0.35">
      <c r="C14" s="2" t="s">
        <v>123</v>
      </c>
      <c r="D14" s="350">
        <f>'1-Cockpit&amp;assumptions'!E114</f>
        <v>0.1</v>
      </c>
      <c r="E14" s="727">
        <f>'1-Cockpit&amp;assumptions'!E113</f>
        <v>18</v>
      </c>
      <c r="F14" s="727">
        <f>$D$14*F10</f>
        <v>19.040000000000003</v>
      </c>
      <c r="G14" s="727">
        <f t="shared" ref="G14:O14" si="7">$D$14*G10</f>
        <v>20.753600000000006</v>
      </c>
      <c r="H14" s="727">
        <f t="shared" si="7"/>
        <v>22.621424000000005</v>
      </c>
      <c r="I14" s="727">
        <f t="shared" si="7"/>
        <v>24.204923680000007</v>
      </c>
      <c r="J14" s="727">
        <f t="shared" si="7"/>
        <v>25.899268337600013</v>
      </c>
      <c r="K14" s="727">
        <f t="shared" si="7"/>
        <v>27.712217121232015</v>
      </c>
      <c r="L14" s="727">
        <f t="shared" si="7"/>
        <v>29.097827977293619</v>
      </c>
      <c r="M14" s="727">
        <f t="shared" si="7"/>
        <v>30.552719376158297</v>
      </c>
      <c r="N14" s="727">
        <f t="shared" si="7"/>
        <v>31.163773763681462</v>
      </c>
      <c r="O14" s="727">
        <f t="shared" si="7"/>
        <v>31.787049238955092</v>
      </c>
      <c r="P14" s="86"/>
    </row>
    <row r="15" spans="2:16" outlineLevel="1" x14ac:dyDescent="0.2">
      <c r="C15" s="56" t="s">
        <v>124</v>
      </c>
      <c r="D15" s="159"/>
      <c r="E15" s="722">
        <f>E13-E14</f>
        <v>58.5</v>
      </c>
      <c r="F15" s="722">
        <f t="shared" ref="F15:O15" si="8">F13-F14</f>
        <v>70.447999999999993</v>
      </c>
      <c r="G15" s="722">
        <f t="shared" si="8"/>
        <v>83.014400000000009</v>
      </c>
      <c r="H15" s="722">
        <f t="shared" si="8"/>
        <v>90.485696000000019</v>
      </c>
      <c r="I15" s="722">
        <f t="shared" si="8"/>
        <v>101.66067945600004</v>
      </c>
      <c r="J15" s="722">
        <f t="shared" si="8"/>
        <v>108.77692701792006</v>
      </c>
      <c r="K15" s="722">
        <f t="shared" si="8"/>
        <v>102.53520334855844</v>
      </c>
      <c r="L15" s="722">
        <f t="shared" si="8"/>
        <v>93.11304952733957</v>
      </c>
      <c r="M15" s="722">
        <f t="shared" si="8"/>
        <v>97.768702003706537</v>
      </c>
      <c r="N15" s="722">
        <f t="shared" si="8"/>
        <v>99.724076043780684</v>
      </c>
      <c r="O15" s="722">
        <f t="shared" si="8"/>
        <v>101.71855756465629</v>
      </c>
      <c r="P15" s="60"/>
    </row>
    <row r="16" spans="2:16" outlineLevel="1" x14ac:dyDescent="0.2">
      <c r="C16" s="56" t="s">
        <v>125</v>
      </c>
      <c r="D16" s="350">
        <f>'1-Cockpit&amp;assumptions'!E119</f>
        <v>0.25</v>
      </c>
      <c r="E16" s="723">
        <f>E15*(1-$D$16)</f>
        <v>43.875</v>
      </c>
      <c r="F16" s="723">
        <f t="shared" ref="F16:O16" si="9">F15*(1-$D$16)</f>
        <v>52.835999999999999</v>
      </c>
      <c r="G16" s="723">
        <f t="shared" si="9"/>
        <v>62.260800000000003</v>
      </c>
      <c r="H16" s="723">
        <f t="shared" si="9"/>
        <v>67.864272000000014</v>
      </c>
      <c r="I16" s="723">
        <f t="shared" si="9"/>
        <v>76.245509592000033</v>
      </c>
      <c r="J16" s="723">
        <f t="shared" si="9"/>
        <v>81.582695263440044</v>
      </c>
      <c r="K16" s="723">
        <f t="shared" si="9"/>
        <v>76.901402511418837</v>
      </c>
      <c r="L16" s="723">
        <f t="shared" si="9"/>
        <v>69.834787145504677</v>
      </c>
      <c r="M16" s="723">
        <f t="shared" si="9"/>
        <v>73.326526502779899</v>
      </c>
      <c r="N16" s="723">
        <f t="shared" si="9"/>
        <v>74.79305703283552</v>
      </c>
      <c r="O16" s="723">
        <f t="shared" si="9"/>
        <v>76.28891817349222</v>
      </c>
      <c r="P16" s="61"/>
    </row>
    <row r="17" spans="1:18" s="731" customFormat="1" outlineLevel="1" x14ac:dyDescent="0.2">
      <c r="A17" s="1"/>
      <c r="B17" s="11"/>
      <c r="C17" s="135" t="s">
        <v>126</v>
      </c>
      <c r="D17" s="359">
        <f>'1-Cockpit&amp;assumptions'!E120</f>
        <v>4.4999999999999998E-2</v>
      </c>
      <c r="E17" s="728"/>
      <c r="F17" s="729"/>
      <c r="G17" s="729"/>
      <c r="H17" s="729"/>
      <c r="I17" s="729"/>
      <c r="J17" s="729"/>
      <c r="K17" s="729"/>
      <c r="L17" s="729"/>
      <c r="M17" s="729"/>
      <c r="N17" s="729"/>
      <c r="O17" s="729"/>
      <c r="P17" s="730"/>
    </row>
    <row r="18" spans="1:18" s="731" customFormat="1" outlineLevel="1" x14ac:dyDescent="0.2">
      <c r="A18" s="1"/>
      <c r="B18" s="11"/>
      <c r="C18" s="135" t="s">
        <v>127</v>
      </c>
      <c r="D18" s="158"/>
      <c r="E18" s="732">
        <f>'1-Cockpit&amp;assumptions'!E102</f>
        <v>8</v>
      </c>
      <c r="F18" s="732">
        <f>E18*(1+$D$17)</f>
        <v>8.36</v>
      </c>
      <c r="G18" s="732">
        <f t="shared" ref="G18:O18" si="10">F18*(1+$D$17)</f>
        <v>8.7361999999999984</v>
      </c>
      <c r="H18" s="732">
        <f t="shared" si="10"/>
        <v>9.1293289999999985</v>
      </c>
      <c r="I18" s="732">
        <f t="shared" si="10"/>
        <v>9.5401488049999976</v>
      </c>
      <c r="J18" s="732">
        <f t="shared" si="10"/>
        <v>9.9694555012249975</v>
      </c>
      <c r="K18" s="732">
        <f t="shared" si="10"/>
        <v>10.418080998780122</v>
      </c>
      <c r="L18" s="732">
        <f t="shared" si="10"/>
        <v>10.886894643725226</v>
      </c>
      <c r="M18" s="732">
        <f t="shared" si="10"/>
        <v>11.376804902692861</v>
      </c>
      <c r="N18" s="732">
        <f t="shared" si="10"/>
        <v>11.888761123314039</v>
      </c>
      <c r="O18" s="732">
        <f t="shared" si="10"/>
        <v>12.42375537386317</v>
      </c>
      <c r="P18" s="88"/>
    </row>
    <row r="19" spans="1:18" s="734" customFormat="1" outlineLevel="1" x14ac:dyDescent="0.2">
      <c r="A19" s="5"/>
      <c r="B19" s="3"/>
      <c r="C19" s="135" t="s">
        <v>128</v>
      </c>
      <c r="D19" s="158"/>
      <c r="E19" s="732">
        <f>E18-'1-Cockpit&amp;assumptions'!D102</f>
        <v>1</v>
      </c>
      <c r="F19" s="733">
        <f>F18-E18</f>
        <v>0.35999999999999943</v>
      </c>
      <c r="G19" s="733">
        <f t="shared" ref="G19:O19" si="11">G18-F18</f>
        <v>0.37619999999999898</v>
      </c>
      <c r="H19" s="733">
        <f t="shared" si="11"/>
        <v>0.39312900000000006</v>
      </c>
      <c r="I19" s="733">
        <f t="shared" si="11"/>
        <v>0.41081980499999915</v>
      </c>
      <c r="J19" s="733">
        <f t="shared" si="11"/>
        <v>0.42930669622499984</v>
      </c>
      <c r="K19" s="733">
        <f t="shared" si="11"/>
        <v>0.44862549755512404</v>
      </c>
      <c r="L19" s="733">
        <f t="shared" si="11"/>
        <v>0.46881364494510436</v>
      </c>
      <c r="M19" s="733">
        <f t="shared" si="11"/>
        <v>0.48991025896763496</v>
      </c>
      <c r="N19" s="733">
        <f t="shared" si="11"/>
        <v>0.51195622062117785</v>
      </c>
      <c r="O19" s="733">
        <f t="shared" si="11"/>
        <v>0.53499425054913097</v>
      </c>
      <c r="P19" s="89"/>
    </row>
    <row r="20" spans="1:18" s="1" customFormat="1" outlineLevel="1" x14ac:dyDescent="0.2">
      <c r="B20" s="11"/>
      <c r="C20" s="735" t="s">
        <v>129</v>
      </c>
      <c r="D20" s="736"/>
      <c r="E20" s="737">
        <f>E16+E14-E19</f>
        <v>60.875</v>
      </c>
      <c r="F20" s="737">
        <f t="shared" ref="F20:O20" si="12">F16+F14-F19</f>
        <v>71.516000000000005</v>
      </c>
      <c r="G20" s="737">
        <f t="shared" si="12"/>
        <v>82.638200000000012</v>
      </c>
      <c r="H20" s="737">
        <f t="shared" si="12"/>
        <v>90.092567000000017</v>
      </c>
      <c r="I20" s="737">
        <f t="shared" si="12"/>
        <v>100.03961346700004</v>
      </c>
      <c r="J20" s="737">
        <f t="shared" si="12"/>
        <v>107.05265690481507</v>
      </c>
      <c r="K20" s="737">
        <f t="shared" si="12"/>
        <v>104.16499413509572</v>
      </c>
      <c r="L20" s="737">
        <f t="shared" si="12"/>
        <v>98.463801477853195</v>
      </c>
      <c r="M20" s="737">
        <f t="shared" si="12"/>
        <v>103.38933561997055</v>
      </c>
      <c r="N20" s="737">
        <f t="shared" si="12"/>
        <v>105.44487457589581</v>
      </c>
      <c r="O20" s="737">
        <f t="shared" si="12"/>
        <v>107.54097316189818</v>
      </c>
      <c r="P20" s="60"/>
    </row>
    <row r="21" spans="1:18" outlineLevel="1" x14ac:dyDescent="0.2">
      <c r="C21" s="2" t="s">
        <v>130</v>
      </c>
      <c r="D21" s="359">
        <f>'1-Cockpit&amp;assumptions'!E116</f>
        <v>0.1</v>
      </c>
      <c r="E21" s="732">
        <f>'1-Cockpit&amp;assumptions'!E115</f>
        <v>18</v>
      </c>
      <c r="F21" s="732">
        <f>$D$21*F10</f>
        <v>19.040000000000003</v>
      </c>
      <c r="G21" s="732">
        <f t="shared" ref="G21:O21" si="13">$D$21*G10</f>
        <v>20.753600000000006</v>
      </c>
      <c r="H21" s="732">
        <f t="shared" si="13"/>
        <v>22.621424000000005</v>
      </c>
      <c r="I21" s="732">
        <f t="shared" si="13"/>
        <v>24.204923680000007</v>
      </c>
      <c r="J21" s="732">
        <f t="shared" si="13"/>
        <v>25.899268337600013</v>
      </c>
      <c r="K21" s="732">
        <f t="shared" si="13"/>
        <v>27.712217121232015</v>
      </c>
      <c r="L21" s="732">
        <f t="shared" si="13"/>
        <v>29.097827977293619</v>
      </c>
      <c r="M21" s="732">
        <f t="shared" si="13"/>
        <v>30.552719376158297</v>
      </c>
      <c r="N21" s="732">
        <f t="shared" si="13"/>
        <v>31.163773763681462</v>
      </c>
      <c r="O21" s="732">
        <f t="shared" si="13"/>
        <v>31.787049238955092</v>
      </c>
      <c r="P21" s="90"/>
    </row>
    <row r="22" spans="1:18" ht="15" outlineLevel="1" x14ac:dyDescent="0.35">
      <c r="C22" s="2" t="s">
        <v>59</v>
      </c>
      <c r="D22" s="158"/>
      <c r="E22" s="738">
        <f>'1-Cockpit&amp;assumptions'!$E$158</f>
        <v>0</v>
      </c>
      <c r="F22" s="738">
        <f>E22</f>
        <v>0</v>
      </c>
      <c r="G22" s="738">
        <f t="shared" ref="G22:O22" si="14">F22</f>
        <v>0</v>
      </c>
      <c r="H22" s="738">
        <f t="shared" si="14"/>
        <v>0</v>
      </c>
      <c r="I22" s="738">
        <f t="shared" si="14"/>
        <v>0</v>
      </c>
      <c r="J22" s="738">
        <f t="shared" si="14"/>
        <v>0</v>
      </c>
      <c r="K22" s="738">
        <f t="shared" si="14"/>
        <v>0</v>
      </c>
      <c r="L22" s="738">
        <f t="shared" si="14"/>
        <v>0</v>
      </c>
      <c r="M22" s="738">
        <f t="shared" si="14"/>
        <v>0</v>
      </c>
      <c r="N22" s="738">
        <f t="shared" si="14"/>
        <v>0</v>
      </c>
      <c r="O22" s="738">
        <f t="shared" si="14"/>
        <v>0</v>
      </c>
      <c r="P22" s="62"/>
    </row>
    <row r="23" spans="1:18" s="1" customFormat="1" outlineLevel="1" x14ac:dyDescent="0.2">
      <c r="B23" s="11"/>
      <c r="C23" s="56" t="s">
        <v>131</v>
      </c>
      <c r="D23" s="82"/>
      <c r="E23" s="723">
        <f>E21-E22</f>
        <v>18</v>
      </c>
      <c r="F23" s="723">
        <f t="shared" ref="F23:O23" si="15">F21-F22</f>
        <v>19.040000000000003</v>
      </c>
      <c r="G23" s="723">
        <f t="shared" si="15"/>
        <v>20.753600000000006</v>
      </c>
      <c r="H23" s="723">
        <f t="shared" si="15"/>
        <v>22.621424000000005</v>
      </c>
      <c r="I23" s="723">
        <f t="shared" si="15"/>
        <v>24.204923680000007</v>
      </c>
      <c r="J23" s="723">
        <f t="shared" si="15"/>
        <v>25.899268337600013</v>
      </c>
      <c r="K23" s="723">
        <f t="shared" si="15"/>
        <v>27.712217121232015</v>
      </c>
      <c r="L23" s="723">
        <f t="shared" si="15"/>
        <v>29.097827977293619</v>
      </c>
      <c r="M23" s="723">
        <f t="shared" si="15"/>
        <v>30.552719376158297</v>
      </c>
      <c r="N23" s="723">
        <f t="shared" si="15"/>
        <v>31.163773763681462</v>
      </c>
      <c r="O23" s="723">
        <f t="shared" si="15"/>
        <v>31.787049238955092</v>
      </c>
      <c r="P23" s="63"/>
    </row>
    <row r="24" spans="1:18" s="731" customFormat="1" ht="4.5" customHeight="1" outlineLevel="1" x14ac:dyDescent="0.2">
      <c r="A24" s="1"/>
      <c r="B24" s="11"/>
      <c r="C24" s="56"/>
      <c r="D24" s="82"/>
      <c r="E24" s="722"/>
      <c r="F24" s="722"/>
      <c r="G24" s="722"/>
      <c r="H24" s="723"/>
      <c r="I24" s="723"/>
      <c r="J24" s="723"/>
      <c r="K24" s="723"/>
      <c r="L24" s="723"/>
      <c r="M24" s="723"/>
      <c r="N24" s="723"/>
      <c r="O24" s="739"/>
    </row>
    <row r="25" spans="1:18" s="1" customFormat="1" outlineLevel="1" x14ac:dyDescent="0.2">
      <c r="B25" s="11"/>
      <c r="C25" s="735" t="s">
        <v>132</v>
      </c>
      <c r="D25" s="736"/>
      <c r="E25" s="737">
        <f>E20-E23</f>
        <v>42.875</v>
      </c>
      <c r="F25" s="737">
        <f t="shared" ref="F25:O25" si="16">F20-F23</f>
        <v>52.475999999999999</v>
      </c>
      <c r="G25" s="737">
        <f t="shared" si="16"/>
        <v>61.884600000000006</v>
      </c>
      <c r="H25" s="737">
        <f t="shared" si="16"/>
        <v>67.471143000000012</v>
      </c>
      <c r="I25" s="737">
        <f t="shared" si="16"/>
        <v>75.83468978700003</v>
      </c>
      <c r="J25" s="737">
        <f t="shared" si="16"/>
        <v>81.153388567215046</v>
      </c>
      <c r="K25" s="737">
        <f t="shared" si="16"/>
        <v>76.452777013863709</v>
      </c>
      <c r="L25" s="737">
        <f t="shared" si="16"/>
        <v>69.365973500559576</v>
      </c>
      <c r="M25" s="737">
        <f t="shared" si="16"/>
        <v>72.836616243812259</v>
      </c>
      <c r="N25" s="737">
        <f t="shared" si="16"/>
        <v>74.281100812214348</v>
      </c>
      <c r="O25" s="737">
        <f t="shared" si="16"/>
        <v>75.753923922943088</v>
      </c>
      <c r="P25" s="60" t="s">
        <v>338</v>
      </c>
    </row>
    <row r="26" spans="1:18" s="1" customFormat="1" outlineLevel="1" x14ac:dyDescent="0.2">
      <c r="B26" s="11"/>
      <c r="C26" s="571" t="s">
        <v>133</v>
      </c>
      <c r="D26" s="351">
        <f>D9</f>
        <v>7</v>
      </c>
      <c r="E26" s="352"/>
      <c r="F26" s="352"/>
      <c r="G26" s="352"/>
      <c r="H26" s="352"/>
      <c r="I26" s="352"/>
      <c r="J26" s="352"/>
      <c r="K26" s="352"/>
      <c r="L26" s="352"/>
      <c r="M26" s="352"/>
      <c r="N26" s="352"/>
      <c r="O26" s="629">
        <f>O25*D26</f>
        <v>530.27746746060166</v>
      </c>
      <c r="P26" s="506">
        <f>(O25*(1+D7))/(D8-D7)</f>
        <v>1182.926658181342</v>
      </c>
      <c r="R26" s="60"/>
    </row>
    <row r="27" spans="1:18" s="1" customFormat="1" outlineLevel="1" x14ac:dyDescent="0.2">
      <c r="B27" s="11"/>
      <c r="C27" s="740" t="s">
        <v>137</v>
      </c>
      <c r="D27" s="741"/>
      <c r="E27" s="742">
        <f>1/(1+$D$8)^(E4-E4)</f>
        <v>1</v>
      </c>
      <c r="F27" s="742">
        <f>1/(1+$D$8)^(F4-$E$4)</f>
        <v>0.92592592592592582</v>
      </c>
      <c r="G27" s="742">
        <f>1/(1+$D$8)^(G4-$E$4)</f>
        <v>0.85733882030178321</v>
      </c>
      <c r="H27" s="742">
        <f t="shared" ref="H27:O27" si="17">1/(1+$D$8)^(H4-$E$4)</f>
        <v>0.79383224102016958</v>
      </c>
      <c r="I27" s="742">
        <f t="shared" si="17"/>
        <v>0.73502985279645328</v>
      </c>
      <c r="J27" s="742">
        <f t="shared" si="17"/>
        <v>0.68058319703375303</v>
      </c>
      <c r="K27" s="742">
        <f t="shared" si="17"/>
        <v>0.63016962688310452</v>
      </c>
      <c r="L27" s="742">
        <f t="shared" si="17"/>
        <v>0.58349039526213387</v>
      </c>
      <c r="M27" s="742">
        <f t="shared" si="17"/>
        <v>0.54026888450197574</v>
      </c>
      <c r="N27" s="742">
        <f t="shared" si="17"/>
        <v>0.50024896713145905</v>
      </c>
      <c r="O27" s="742">
        <f t="shared" si="17"/>
        <v>0.46319348808468425</v>
      </c>
      <c r="P27" s="506"/>
      <c r="R27" s="60"/>
    </row>
    <row r="28" spans="1:18" s="1" customFormat="1" outlineLevel="1" x14ac:dyDescent="0.2">
      <c r="B28" s="11"/>
      <c r="C28" s="56" t="s">
        <v>134</v>
      </c>
      <c r="D28" s="82"/>
      <c r="E28" s="352">
        <f>E25*E27</f>
        <v>42.875</v>
      </c>
      <c r="F28" s="352">
        <f t="shared" ref="F28:N28" si="18">F25*F27</f>
        <v>48.588888888888881</v>
      </c>
      <c r="G28" s="352">
        <f t="shared" si="18"/>
        <v>53.056069958847736</v>
      </c>
      <c r="H28" s="352">
        <f t="shared" si="18"/>
        <v>53.560768651882334</v>
      </c>
      <c r="I28" s="352">
        <f t="shared" si="18"/>
        <v>55.740760871003332</v>
      </c>
      <c r="J28" s="352">
        <f t="shared" si="18"/>
        <v>55.231632641197635</v>
      </c>
      <c r="K28" s="352">
        <f t="shared" si="18"/>
        <v>48.178217965003682</v>
      </c>
      <c r="L28" s="352">
        <f t="shared" si="18"/>
        <v>40.474379295584214</v>
      </c>
      <c r="M28" s="352">
        <f t="shared" si="18"/>
        <v>39.351357408942938</v>
      </c>
      <c r="N28" s="352">
        <f t="shared" si="18"/>
        <v>37.159043958698014</v>
      </c>
      <c r="O28" s="352">
        <f>SUM(O25:O26)*O27</f>
        <v>280.70979406375852</v>
      </c>
      <c r="P28" s="60"/>
      <c r="R28" s="12"/>
    </row>
    <row r="29" spans="1:18" s="1" customFormat="1" outlineLevel="1" x14ac:dyDescent="0.2">
      <c r="B29" s="11"/>
      <c r="C29" s="56" t="s">
        <v>339</v>
      </c>
      <c r="D29" s="82"/>
      <c r="E29" s="545">
        <f>SUM(F28:O28)</f>
        <v>712.05091370380728</v>
      </c>
      <c r="F29" s="216"/>
      <c r="G29" s="216"/>
      <c r="H29" s="216"/>
      <c r="I29" s="216"/>
      <c r="J29" s="216"/>
      <c r="K29" s="216"/>
      <c r="L29" s="216"/>
      <c r="M29" s="216"/>
      <c r="N29" s="216"/>
      <c r="O29" s="216"/>
      <c r="P29" s="60"/>
      <c r="R29" s="12"/>
    </row>
    <row r="30" spans="1:18" s="1" customFormat="1" outlineLevel="1" x14ac:dyDescent="0.2">
      <c r="B30" s="11"/>
      <c r="C30" s="56" t="s">
        <v>340</v>
      </c>
      <c r="D30" s="82"/>
      <c r="E30" s="545">
        <f>SUM(F28:N28)+SUM(O25,P26)*O27</f>
        <v>1014.3537688493934</v>
      </c>
      <c r="F30" s="60"/>
      <c r="G30" s="60"/>
      <c r="H30" s="60"/>
      <c r="I30" s="60"/>
      <c r="J30" s="60"/>
      <c r="K30" s="60"/>
      <c r="L30" s="60"/>
      <c r="M30" s="60"/>
      <c r="N30" s="60"/>
      <c r="O30" s="60"/>
      <c r="P30" s="60"/>
      <c r="R30" s="12"/>
    </row>
    <row r="31" spans="1:18" s="1" customFormat="1" outlineLevel="1" x14ac:dyDescent="0.2">
      <c r="B31" s="11"/>
      <c r="C31" s="56"/>
      <c r="D31" s="82"/>
      <c r="E31" s="749"/>
      <c r="F31" s="60"/>
      <c r="G31" s="60"/>
      <c r="H31" s="60"/>
      <c r="I31" s="60"/>
      <c r="J31" s="60"/>
      <c r="K31" s="60"/>
      <c r="L31" s="60"/>
      <c r="M31" s="60"/>
      <c r="N31" s="60"/>
      <c r="O31" s="60"/>
      <c r="P31" s="60"/>
      <c r="R31" s="12"/>
    </row>
    <row r="32" spans="1:18" s="1" customFormat="1" outlineLevel="1" x14ac:dyDescent="0.2">
      <c r="B32" s="11"/>
      <c r="C32" s="56"/>
      <c r="D32" s="82"/>
      <c r="E32" s="164"/>
      <c r="F32" s="60"/>
      <c r="G32" s="60"/>
      <c r="H32" s="60"/>
      <c r="I32" s="60"/>
      <c r="J32" s="60"/>
      <c r="K32" s="60"/>
      <c r="L32" s="60"/>
      <c r="M32" s="60"/>
      <c r="N32" s="60"/>
      <c r="O32" s="60"/>
      <c r="P32" s="60"/>
      <c r="R32" s="12"/>
    </row>
    <row r="33" spans="2:18" s="130" customFormat="1" outlineLevel="1" x14ac:dyDescent="0.2">
      <c r="B33" s="163"/>
      <c r="C33" s="173" t="s">
        <v>136</v>
      </c>
      <c r="D33" s="174"/>
      <c r="E33" s="175"/>
      <c r="F33" s="175"/>
      <c r="G33" s="175"/>
      <c r="H33" s="175"/>
      <c r="I33" s="175"/>
      <c r="J33" s="175"/>
      <c r="K33" s="175"/>
      <c r="L33" s="175"/>
      <c r="M33" s="175"/>
      <c r="N33" s="175"/>
      <c r="O33" s="175"/>
      <c r="P33" s="164"/>
      <c r="R33" s="12"/>
    </row>
    <row r="34" spans="2:18" s="1" customFormat="1" outlineLevel="1" x14ac:dyDescent="0.2">
      <c r="B34" s="11"/>
      <c r="C34" s="176" t="s">
        <v>137</v>
      </c>
      <c r="D34" s="177"/>
      <c r="E34" s="528">
        <f t="shared" ref="E34:O34" si="19">1/POWER(1+$D$8,E3)</f>
        <v>1</v>
      </c>
      <c r="F34" s="528">
        <f t="shared" si="19"/>
        <v>0.92592592592592582</v>
      </c>
      <c r="G34" s="528">
        <f t="shared" si="19"/>
        <v>0.85733882030178321</v>
      </c>
      <c r="H34" s="528">
        <f t="shared" si="19"/>
        <v>0.79383224102016958</v>
      </c>
      <c r="I34" s="528">
        <f t="shared" si="19"/>
        <v>0.73502985279645328</v>
      </c>
      <c r="J34" s="528">
        <f t="shared" si="19"/>
        <v>0.68058319703375303</v>
      </c>
      <c r="K34" s="528">
        <f t="shared" si="19"/>
        <v>0.63016962688310452</v>
      </c>
      <c r="L34" s="528">
        <f t="shared" si="19"/>
        <v>0.58349039526213387</v>
      </c>
      <c r="M34" s="528">
        <f t="shared" si="19"/>
        <v>0.54026888450197574</v>
      </c>
      <c r="N34" s="528">
        <f t="shared" si="19"/>
        <v>0.50024896713145905</v>
      </c>
      <c r="O34" s="528">
        <f t="shared" si="19"/>
        <v>0.46319348808468425</v>
      </c>
      <c r="P34" s="93"/>
    </row>
    <row r="35" spans="2:18" outlineLevel="1" x14ac:dyDescent="0.2">
      <c r="C35" s="178" t="s">
        <v>138</v>
      </c>
      <c r="D35" s="179"/>
      <c r="E35" s="494">
        <f t="shared" ref="E35:O35" si="20">E25*E34</f>
        <v>42.875</v>
      </c>
      <c r="F35" s="494">
        <f t="shared" si="20"/>
        <v>48.588888888888881</v>
      </c>
      <c r="G35" s="494">
        <f t="shared" si="20"/>
        <v>53.056069958847736</v>
      </c>
      <c r="H35" s="494">
        <f t="shared" si="20"/>
        <v>53.560768651882334</v>
      </c>
      <c r="I35" s="494">
        <f t="shared" si="20"/>
        <v>55.740760871003332</v>
      </c>
      <c r="J35" s="494">
        <f t="shared" si="20"/>
        <v>55.231632641197635</v>
      </c>
      <c r="K35" s="494">
        <f t="shared" si="20"/>
        <v>48.178217965003682</v>
      </c>
      <c r="L35" s="494">
        <f t="shared" si="20"/>
        <v>40.474379295584214</v>
      </c>
      <c r="M35" s="494">
        <f t="shared" si="20"/>
        <v>39.351357408942938</v>
      </c>
      <c r="N35" s="494">
        <f t="shared" si="20"/>
        <v>37.159043958698014</v>
      </c>
      <c r="O35" s="494">
        <f t="shared" si="20"/>
        <v>35.088724257969815</v>
      </c>
      <c r="P35" s="94"/>
      <c r="Q35" s="1"/>
      <c r="R35" s="365"/>
    </row>
    <row r="36" spans="2:18" outlineLevel="1" x14ac:dyDescent="0.2">
      <c r="C36" s="178" t="s">
        <v>139</v>
      </c>
      <c r="D36" s="179"/>
      <c r="E36" s="494"/>
      <c r="F36" s="494"/>
      <c r="G36" s="494"/>
      <c r="H36" s="494"/>
      <c r="I36" s="494"/>
      <c r="J36" s="494"/>
      <c r="K36" s="494"/>
      <c r="L36" s="494"/>
      <c r="M36" s="494"/>
      <c r="N36" s="494"/>
      <c r="O36" s="494">
        <f>O34*O26</f>
        <v>245.62106980578872</v>
      </c>
      <c r="P36" s="94"/>
      <c r="Q36" s="1"/>
      <c r="R36" s="365"/>
    </row>
    <row r="37" spans="2:18" ht="15" outlineLevel="1" x14ac:dyDescent="0.35">
      <c r="B37" s="47"/>
      <c r="C37" s="178" t="s">
        <v>140</v>
      </c>
      <c r="D37" s="179"/>
      <c r="E37" s="570">
        <f>SUM(F35:O36)</f>
        <v>712.05091370380728</v>
      </c>
      <c r="F37" s="183"/>
      <c r="G37" s="184"/>
      <c r="H37" s="182"/>
      <c r="I37" s="182"/>
      <c r="J37" s="182"/>
      <c r="K37" s="182"/>
      <c r="L37" s="182"/>
      <c r="M37" s="182"/>
      <c r="N37" s="185"/>
      <c r="O37" s="182"/>
    </row>
    <row r="38" spans="2:18" s="19" customFormat="1" ht="15" outlineLevel="1" x14ac:dyDescent="0.35">
      <c r="B38" s="20"/>
      <c r="C38" s="552"/>
      <c r="D38" s="553"/>
      <c r="E38" s="554"/>
      <c r="F38" s="555"/>
      <c r="G38" s="556"/>
      <c r="H38" s="557"/>
      <c r="I38" s="557"/>
      <c r="J38" s="557"/>
      <c r="K38" s="557"/>
      <c r="L38" s="557"/>
      <c r="M38" s="557"/>
      <c r="N38" s="558"/>
      <c r="O38" s="557"/>
    </row>
    <row r="39" spans="2:18" outlineLevel="1" x14ac:dyDescent="0.2"/>
    <row r="40" spans="2:18" s="19" customFormat="1" outlineLevel="1" x14ac:dyDescent="0.2">
      <c r="B40" s="20"/>
      <c r="C40" s="552" t="str">
        <f>C25</f>
        <v>Free Cash Flow to the Firm</v>
      </c>
      <c r="D40" s="553"/>
      <c r="E40" s="559"/>
      <c r="F40" s="555">
        <f t="shared" ref="F40:O40" si="21">F25</f>
        <v>52.475999999999999</v>
      </c>
      <c r="G40" s="555">
        <f t="shared" si="21"/>
        <v>61.884600000000006</v>
      </c>
      <c r="H40" s="555">
        <f t="shared" si="21"/>
        <v>67.471143000000012</v>
      </c>
      <c r="I40" s="555">
        <f t="shared" si="21"/>
        <v>75.83468978700003</v>
      </c>
      <c r="J40" s="555">
        <f t="shared" si="21"/>
        <v>81.153388567215046</v>
      </c>
      <c r="K40" s="555">
        <f t="shared" si="21"/>
        <v>76.452777013863709</v>
      </c>
      <c r="L40" s="555">
        <f t="shared" si="21"/>
        <v>69.365973500559576</v>
      </c>
      <c r="M40" s="555">
        <f t="shared" si="21"/>
        <v>72.836616243812259</v>
      </c>
      <c r="N40" s="555">
        <f t="shared" si="21"/>
        <v>74.281100812214348</v>
      </c>
      <c r="O40" s="555">
        <f t="shared" si="21"/>
        <v>75.753923922943088</v>
      </c>
    </row>
    <row r="41" spans="2:18" s="19" customFormat="1" ht="15" outlineLevel="1" x14ac:dyDescent="0.35">
      <c r="B41" s="20"/>
      <c r="C41" s="552" t="s">
        <v>141</v>
      </c>
      <c r="D41" s="553"/>
      <c r="E41" s="559">
        <f>O41*O34</f>
        <v>329.80761436921125</v>
      </c>
      <c r="F41" s="555"/>
      <c r="G41" s="556"/>
      <c r="H41" s="557"/>
      <c r="I41" s="557"/>
      <c r="J41" s="557"/>
      <c r="K41" s="557"/>
      <c r="L41" s="557"/>
      <c r="M41" s="557"/>
      <c r="N41" s="558"/>
      <c r="O41" s="628">
        <f>O15*D9</f>
        <v>712.02990295259406</v>
      </c>
    </row>
    <row r="42" spans="2:18" s="19" customFormat="1" outlineLevel="1" x14ac:dyDescent="0.2">
      <c r="B42" s="20"/>
      <c r="C42" s="552" t="str">
        <f>C28</f>
        <v>Free Cash Flow to the Firm including TV (to discount)</v>
      </c>
      <c r="D42" s="553"/>
      <c r="F42" s="555">
        <f>SUM(F40:F41)</f>
        <v>52.475999999999999</v>
      </c>
      <c r="G42" s="555">
        <f t="shared" ref="G42:O42" si="22">SUM(G40:G41)</f>
        <v>61.884600000000006</v>
      </c>
      <c r="H42" s="555">
        <f t="shared" si="22"/>
        <v>67.471143000000012</v>
      </c>
      <c r="I42" s="555">
        <f t="shared" si="22"/>
        <v>75.83468978700003</v>
      </c>
      <c r="J42" s="555">
        <f t="shared" si="22"/>
        <v>81.153388567215046</v>
      </c>
      <c r="K42" s="555">
        <f>SUM(K40:K41)</f>
        <v>76.452777013863709</v>
      </c>
      <c r="L42" s="555">
        <f t="shared" si="22"/>
        <v>69.365973500559576</v>
      </c>
      <c r="M42" s="555">
        <f t="shared" si="22"/>
        <v>72.836616243812259</v>
      </c>
      <c r="N42" s="555">
        <f t="shared" si="22"/>
        <v>74.281100812214348</v>
      </c>
      <c r="O42" s="555">
        <f t="shared" si="22"/>
        <v>787.7838268755371</v>
      </c>
    </row>
    <row r="43" spans="2:18" s="19" customFormat="1" outlineLevel="1" x14ac:dyDescent="0.2">
      <c r="B43" s="20"/>
      <c r="C43" s="552" t="str">
        <f>C29</f>
        <v>Entreprise Value (PV of FCFF) - using EBIT Multiple</v>
      </c>
      <c r="D43" s="553"/>
      <c r="E43" s="559">
        <f>NPV(D8,F42:O42)</f>
        <v>796.23745826722984</v>
      </c>
      <c r="F43" s="555"/>
      <c r="G43" s="555"/>
      <c r="H43" s="555"/>
      <c r="I43" s="555"/>
      <c r="J43" s="555"/>
      <c r="K43" s="555"/>
      <c r="L43" s="555"/>
      <c r="M43" s="555"/>
      <c r="N43" s="555"/>
      <c r="O43" s="555"/>
    </row>
    <row r="44" spans="2:18" ht="15" outlineLevel="1" x14ac:dyDescent="0.35">
      <c r="B44" s="47"/>
      <c r="C44" s="1"/>
      <c r="D44" s="104"/>
      <c r="E44" s="166"/>
      <c r="F44" s="167"/>
      <c r="G44" s="168"/>
      <c r="H44" s="166"/>
      <c r="I44" s="166"/>
      <c r="J44" s="166"/>
      <c r="K44" s="166"/>
      <c r="L44" s="166"/>
      <c r="M44" s="166"/>
      <c r="N44" s="169"/>
      <c r="O44" s="166"/>
    </row>
    <row r="45" spans="2:18" ht="15" outlineLevel="1" x14ac:dyDescent="0.35">
      <c r="B45" s="47"/>
      <c r="C45" s="1"/>
      <c r="D45" s="104"/>
      <c r="E45" s="192" t="s">
        <v>142</v>
      </c>
      <c r="F45" s="560" t="s">
        <v>143</v>
      </c>
      <c r="G45" s="168"/>
      <c r="H45" s="166"/>
      <c r="I45" s="166"/>
      <c r="J45" s="166"/>
      <c r="K45" s="166"/>
      <c r="L45" s="166"/>
      <c r="M45" s="166"/>
      <c r="N45" s="169"/>
      <c r="O45" s="166"/>
    </row>
    <row r="46" spans="2:18" s="1" customFormat="1" outlineLevel="1" x14ac:dyDescent="0.2">
      <c r="B46" s="4"/>
      <c r="C46" s="105" t="s">
        <v>144</v>
      </c>
      <c r="D46" s="170"/>
      <c r="E46" s="546">
        <f>100%-E47</f>
        <v>0.6550512539501353</v>
      </c>
      <c r="F46" s="546">
        <f>100%-F47</f>
        <v>0.53682017953788941</v>
      </c>
      <c r="G46" s="100"/>
      <c r="H46" s="92"/>
      <c r="I46" s="12"/>
    </row>
    <row r="47" spans="2:18" ht="15" outlineLevel="1" x14ac:dyDescent="0.35">
      <c r="B47" s="47"/>
      <c r="C47" s="105" t="s">
        <v>145</v>
      </c>
      <c r="D47" s="171"/>
      <c r="E47" s="546">
        <f>O36/E37</f>
        <v>0.3449487460498647</v>
      </c>
      <c r="F47" s="546">
        <f>E41/(F49+F48)</f>
        <v>0.46317982046211059</v>
      </c>
      <c r="G47" s="97"/>
      <c r="H47" s="101"/>
    </row>
    <row r="48" spans="2:18" outlineLevel="1" x14ac:dyDescent="0.2">
      <c r="B48" s="47"/>
      <c r="C48" s="5" t="s">
        <v>146</v>
      </c>
      <c r="D48" s="372"/>
      <c r="E48" s="547">
        <f>'1-Cockpit&amp;assumptions'!$E$104</f>
        <v>150</v>
      </c>
      <c r="F48" s="358">
        <f>E48</f>
        <v>150</v>
      </c>
      <c r="G48" s="98"/>
      <c r="H48" s="101"/>
    </row>
    <row r="49" spans="2:16" outlineLevel="1" x14ac:dyDescent="0.2">
      <c r="B49" s="47"/>
      <c r="C49" s="1" t="s">
        <v>147</v>
      </c>
      <c r="D49" s="171"/>
      <c r="E49" s="750">
        <f>E30-E48</f>
        <v>864.35376884939342</v>
      </c>
      <c r="F49" s="750">
        <f>E29-F48</f>
        <v>562.05091370380728</v>
      </c>
      <c r="G49" s="102"/>
      <c r="H49" s="15"/>
    </row>
    <row r="50" spans="2:16" outlineLevel="1" x14ac:dyDescent="0.2">
      <c r="C50" s="5" t="s">
        <v>60</v>
      </c>
      <c r="D50" s="171"/>
      <c r="E50" s="548">
        <f>'1-Cockpit&amp;assumptions'!E122</f>
        <v>3000</v>
      </c>
      <c r="F50" s="548">
        <f>E50</f>
        <v>3000</v>
      </c>
      <c r="G50" s="102"/>
      <c r="H50" s="99"/>
    </row>
    <row r="51" spans="2:16" s="14" customFormat="1" outlineLevel="1" x14ac:dyDescent="0.2">
      <c r="B51" s="13"/>
      <c r="C51" s="1" t="s">
        <v>148</v>
      </c>
      <c r="D51" s="172"/>
      <c r="E51" s="549"/>
      <c r="F51" s="549"/>
      <c r="G51" s="107"/>
      <c r="H51" s="108"/>
    </row>
    <row r="52" spans="2:16" s="14" customFormat="1" outlineLevel="1" x14ac:dyDescent="0.2">
      <c r="B52" s="13"/>
      <c r="C52" s="1" t="s">
        <v>149</v>
      </c>
      <c r="D52" s="172"/>
      <c r="E52" s="550"/>
      <c r="F52" s="550"/>
      <c r="G52" s="109"/>
      <c r="H52" s="110"/>
    </row>
    <row r="53" spans="2:16" outlineLevel="1" x14ac:dyDescent="0.2">
      <c r="C53" s="1" t="s">
        <v>150</v>
      </c>
      <c r="D53" s="171"/>
      <c r="E53" s="551" t="e">
        <f>(E51-E52)/E52</f>
        <v>#DIV/0!</v>
      </c>
      <c r="F53" s="551" t="e">
        <f>(F51-F52)/F52</f>
        <v>#DIV/0!</v>
      </c>
      <c r="G53" s="112"/>
      <c r="H53" s="99"/>
    </row>
    <row r="54" spans="2:16" s="19" customFormat="1" x14ac:dyDescent="0.2">
      <c r="B54" s="226"/>
      <c r="C54" s="130"/>
      <c r="D54" s="419"/>
      <c r="E54" s="420"/>
      <c r="F54" s="70"/>
      <c r="G54" s="421"/>
      <c r="H54" s="422"/>
    </row>
    <row r="55" spans="2:16" s="77" customFormat="1" x14ac:dyDescent="0.2">
      <c r="B55" s="129">
        <f>B2+1</f>
        <v>2</v>
      </c>
      <c r="C55" s="74" t="s">
        <v>151</v>
      </c>
      <c r="D55" s="79"/>
      <c r="E55" s="75"/>
      <c r="F55" s="75"/>
      <c r="G55" s="76"/>
      <c r="H55" s="75"/>
      <c r="I55" s="75"/>
      <c r="J55" s="75"/>
      <c r="K55" s="75"/>
      <c r="L55" s="75"/>
      <c r="M55" s="75"/>
      <c r="N55" s="75"/>
    </row>
    <row r="56" spans="2:16" ht="14.45" customHeight="1" outlineLevel="1" x14ac:dyDescent="0.2"/>
    <row r="57" spans="2:16" outlineLevel="1" x14ac:dyDescent="0.2">
      <c r="E57" s="8">
        <v>0</v>
      </c>
      <c r="F57" s="8">
        <f>E57+1</f>
        <v>1</v>
      </c>
      <c r="G57" s="8">
        <f t="shared" ref="G57:G58" si="23">F57+1</f>
        <v>2</v>
      </c>
      <c r="H57" s="8">
        <f t="shared" ref="H57:H58" si="24">G57+1</f>
        <v>3</v>
      </c>
      <c r="I57" s="8">
        <f t="shared" ref="I57:I58" si="25">H57+1</f>
        <v>4</v>
      </c>
      <c r="J57" s="8">
        <f t="shared" ref="J57:J58" si="26">I57+1</f>
        <v>5</v>
      </c>
      <c r="K57" s="8">
        <f t="shared" ref="K57:K58" si="27">J57+1</f>
        <v>6</v>
      </c>
      <c r="L57" s="8">
        <f t="shared" ref="L57:L58" si="28">K57+1</f>
        <v>7</v>
      </c>
      <c r="M57" s="8">
        <f t="shared" ref="M57:M58" si="29">L57+1</f>
        <v>8</v>
      </c>
      <c r="N57" s="8">
        <f t="shared" ref="N57:N58" si="30">M57+1</f>
        <v>9</v>
      </c>
      <c r="O57" s="8">
        <f t="shared" ref="O57:O58" si="31">N57+1</f>
        <v>10</v>
      </c>
      <c r="P57" s="8"/>
    </row>
    <row r="58" spans="2:16" s="7" customFormat="1" outlineLevel="1" x14ac:dyDescent="0.2">
      <c r="B58" s="10"/>
      <c r="C58" s="7" t="s">
        <v>118</v>
      </c>
      <c r="D58" s="80"/>
      <c r="E58" s="64">
        <f>'1-Cockpit&amp;assumptions'!E86</f>
        <v>2024</v>
      </c>
      <c r="F58" s="64">
        <f>E58+1</f>
        <v>2025</v>
      </c>
      <c r="G58" s="64">
        <f t="shared" si="23"/>
        <v>2026</v>
      </c>
      <c r="H58" s="64">
        <f t="shared" si="24"/>
        <v>2027</v>
      </c>
      <c r="I58" s="64">
        <f t="shared" si="25"/>
        <v>2028</v>
      </c>
      <c r="J58" s="64">
        <f t="shared" si="26"/>
        <v>2029</v>
      </c>
      <c r="K58" s="64">
        <f t="shared" si="27"/>
        <v>2030</v>
      </c>
      <c r="L58" s="64">
        <f t="shared" si="28"/>
        <v>2031</v>
      </c>
      <c r="M58" s="64">
        <f t="shared" si="29"/>
        <v>2032</v>
      </c>
      <c r="N58" s="64">
        <f t="shared" si="30"/>
        <v>2033</v>
      </c>
      <c r="O58" s="64">
        <f t="shared" si="31"/>
        <v>2034</v>
      </c>
      <c r="P58" s="64"/>
    </row>
    <row r="59" spans="2:16" ht="5.25" customHeight="1" outlineLevel="1" x14ac:dyDescent="0.2">
      <c r="C59" s="2"/>
      <c r="D59" s="81"/>
      <c r="E59" s="2"/>
      <c r="F59" s="2"/>
      <c r="G59" s="2"/>
      <c r="H59" s="2"/>
      <c r="I59" s="2"/>
      <c r="J59" s="2"/>
      <c r="K59" s="2"/>
    </row>
    <row r="60" spans="2:16" s="1" customFormat="1" ht="12" customHeight="1" outlineLevel="1" x14ac:dyDescent="0.2">
      <c r="B60" s="11"/>
      <c r="C60" s="56" t="s">
        <v>152</v>
      </c>
      <c r="D60" s="82"/>
      <c r="E60" s="57"/>
      <c r="F60" s="57"/>
      <c r="G60" s="57"/>
      <c r="H60" s="57"/>
      <c r="I60" s="57"/>
      <c r="J60" s="57"/>
      <c r="K60" s="57"/>
      <c r="L60" s="8"/>
      <c r="M60" s="8"/>
      <c r="N60" s="8"/>
      <c r="O60" s="8"/>
      <c r="P60" s="8"/>
    </row>
    <row r="61" spans="2:16" outlineLevel="1" x14ac:dyDescent="0.2">
      <c r="C61" s="2" t="s">
        <v>55</v>
      </c>
      <c r="D61" s="366">
        <f>'1-Cockpit&amp;assumptions'!E153</f>
        <v>2.5000000000000001E-2</v>
      </c>
      <c r="E61" s="6"/>
      <c r="F61" s="84"/>
      <c r="G61" s="84"/>
      <c r="H61" s="84"/>
      <c r="I61" s="84"/>
      <c r="J61" s="84"/>
      <c r="K61" s="84"/>
      <c r="L61" s="84"/>
      <c r="M61" s="84"/>
      <c r="N61" s="84"/>
      <c r="O61" s="84"/>
      <c r="P61" s="84"/>
    </row>
    <row r="62" spans="2:16" outlineLevel="1" x14ac:dyDescent="0.2">
      <c r="C62" s="2" t="s">
        <v>153</v>
      </c>
      <c r="D62" s="366">
        <f>'1-Cockpit&amp;assumptions'!E154</f>
        <v>5.5E-2</v>
      </c>
      <c r="E62" s="58"/>
      <c r="F62" s="58"/>
      <c r="G62" s="58"/>
      <c r="H62" s="58"/>
      <c r="I62" s="58"/>
      <c r="J62" s="58"/>
      <c r="K62" s="58"/>
    </row>
    <row r="63" spans="2:16" s="1" customFormat="1" outlineLevel="1" x14ac:dyDescent="0.2">
      <c r="B63" s="11"/>
      <c r="C63" s="56" t="s">
        <v>121</v>
      </c>
      <c r="D63" s="157"/>
      <c r="E63" s="561">
        <f>'1-Cockpit&amp;assumptions'!E149</f>
        <v>350</v>
      </c>
      <c r="F63" s="562">
        <f>E63*(1+F64)</f>
        <v>374.5</v>
      </c>
      <c r="G63" s="562">
        <f t="shared" ref="G63" si="32">F63*(1+G64)</f>
        <v>395.09749999999997</v>
      </c>
      <c r="H63" s="562">
        <f t="shared" ref="H63" si="33">G63*(1+H64)</f>
        <v>416.82786249999992</v>
      </c>
      <c r="I63" s="562">
        <f t="shared" ref="I63" si="34">H63*(1+I64)</f>
        <v>435.58511631249991</v>
      </c>
      <c r="J63" s="562">
        <f t="shared" ref="J63" si="35">I63*(1+J64)</f>
        <v>455.18644654656237</v>
      </c>
      <c r="K63" s="562">
        <f t="shared" ref="K63" si="36">J63*(1+K64)</f>
        <v>475.66983664115764</v>
      </c>
      <c r="L63" s="562">
        <f t="shared" ref="L63" si="37">K63*(1+L64)</f>
        <v>497.07497929000971</v>
      </c>
      <c r="M63" s="562">
        <f t="shared" ref="M63" si="38">L63*(1+M64)</f>
        <v>519.44335335806011</v>
      </c>
      <c r="N63" s="562">
        <f t="shared" ref="N63" si="39">M63*(1+N64)</f>
        <v>537.62387072559216</v>
      </c>
      <c r="O63" s="562">
        <f t="shared" ref="O63" si="40">N63*(1+O64)</f>
        <v>551.06446749373197</v>
      </c>
      <c r="P63" s="61"/>
    </row>
    <row r="64" spans="2:16" outlineLevel="1" x14ac:dyDescent="0.2">
      <c r="C64" s="2" t="s">
        <v>49</v>
      </c>
      <c r="D64" s="81"/>
      <c r="E64" s="354"/>
      <c r="F64" s="354">
        <f>'1-Cockpit&amp;assumptions'!F150</f>
        <v>7.0000000000000007E-2</v>
      </c>
      <c r="G64" s="354">
        <f>'1-Cockpit&amp;assumptions'!G150</f>
        <v>5.5E-2</v>
      </c>
      <c r="H64" s="354">
        <f>'1-Cockpit&amp;assumptions'!H150</f>
        <v>5.5E-2</v>
      </c>
      <c r="I64" s="354">
        <f>'1-Cockpit&amp;assumptions'!I150</f>
        <v>4.4999999999999998E-2</v>
      </c>
      <c r="J64" s="354">
        <f>'1-Cockpit&amp;assumptions'!J150</f>
        <v>4.4999999999999998E-2</v>
      </c>
      <c r="K64" s="354">
        <f>'1-Cockpit&amp;assumptions'!K150</f>
        <v>4.4999999999999998E-2</v>
      </c>
      <c r="L64" s="354">
        <f>'1-Cockpit&amp;assumptions'!L150</f>
        <v>4.4999999999999998E-2</v>
      </c>
      <c r="M64" s="354">
        <f>'1-Cockpit&amp;assumptions'!M150</f>
        <v>4.4999999999999998E-2</v>
      </c>
      <c r="N64" s="354">
        <f>'1-Cockpit&amp;assumptions'!N150</f>
        <v>3.5000000000000003E-2</v>
      </c>
      <c r="O64" s="354">
        <f>'1-Cockpit&amp;assumptions'!O150</f>
        <v>2.5000000000000001E-2</v>
      </c>
      <c r="P64" s="83"/>
    </row>
    <row r="65" spans="2:20" outlineLevel="1" x14ac:dyDescent="0.2">
      <c r="C65" s="2" t="s">
        <v>70</v>
      </c>
      <c r="D65" s="81"/>
      <c r="E65" s="354">
        <f>'1-Cockpit&amp;assumptions'!E151</f>
        <v>0.42</v>
      </c>
      <c r="F65" s="354">
        <f>'1-Cockpit&amp;assumptions'!F151</f>
        <v>0.42</v>
      </c>
      <c r="G65" s="354">
        <f>'1-Cockpit&amp;assumptions'!G151</f>
        <v>0.42</v>
      </c>
      <c r="H65" s="354">
        <f>'1-Cockpit&amp;assumptions'!H151</f>
        <v>0.39</v>
      </c>
      <c r="I65" s="354">
        <f>'1-Cockpit&amp;assumptions'!I151</f>
        <v>0.39</v>
      </c>
      <c r="J65" s="354">
        <f>'1-Cockpit&amp;assumptions'!J151</f>
        <v>0.39</v>
      </c>
      <c r="K65" s="354">
        <f>'1-Cockpit&amp;assumptions'!K151</f>
        <v>0.35</v>
      </c>
      <c r="L65" s="354">
        <f>'1-Cockpit&amp;assumptions'!L151</f>
        <v>0.35</v>
      </c>
      <c r="M65" s="354">
        <f>'1-Cockpit&amp;assumptions'!M151</f>
        <v>0.35</v>
      </c>
      <c r="N65" s="354">
        <f>'1-Cockpit&amp;assumptions'!N151</f>
        <v>0.35</v>
      </c>
      <c r="O65" s="354">
        <f>'1-Cockpit&amp;assumptions'!O151</f>
        <v>0.35</v>
      </c>
      <c r="P65" s="85"/>
      <c r="T65" s="19"/>
    </row>
    <row r="66" spans="2:20" outlineLevel="1" x14ac:dyDescent="0.2">
      <c r="C66" s="56" t="s">
        <v>122</v>
      </c>
      <c r="D66" s="82"/>
      <c r="E66" s="561">
        <f>E63*E65</f>
        <v>147</v>
      </c>
      <c r="F66" s="561">
        <f t="shared" ref="F66" si="41">F63*F65</f>
        <v>157.29</v>
      </c>
      <c r="G66" s="561">
        <f t="shared" ref="G66" si="42">G63*G65</f>
        <v>165.94094999999999</v>
      </c>
      <c r="H66" s="561">
        <f t="shared" ref="H66" si="43">H63*H65</f>
        <v>162.56286637499997</v>
      </c>
      <c r="I66" s="561">
        <f t="shared" ref="I66" si="44">I63*I65</f>
        <v>169.87819536187496</v>
      </c>
      <c r="J66" s="561">
        <f t="shared" ref="J66" si="45">J63*J65</f>
        <v>177.52271415315934</v>
      </c>
      <c r="K66" s="561">
        <f t="shared" ref="K66" si="46">K63*K65</f>
        <v>166.48444282440516</v>
      </c>
      <c r="L66" s="561">
        <f t="shared" ref="L66" si="47">L63*L65</f>
        <v>173.97624275150338</v>
      </c>
      <c r="M66" s="561">
        <f t="shared" ref="M66" si="48">M63*M65</f>
        <v>181.80517367532102</v>
      </c>
      <c r="N66" s="561">
        <f t="shared" ref="N66" si="49">N63*N65</f>
        <v>188.16835475395723</v>
      </c>
      <c r="O66" s="561">
        <f t="shared" ref="O66" si="50">O63*O65</f>
        <v>192.87256362280618</v>
      </c>
      <c r="P66" s="59"/>
      <c r="T66" s="19"/>
    </row>
    <row r="67" spans="2:20" ht="15" outlineLevel="1" x14ac:dyDescent="0.35">
      <c r="C67" s="2" t="s">
        <v>123</v>
      </c>
      <c r="D67" s="158"/>
      <c r="E67" s="563">
        <f>'1-Cockpit&amp;assumptions'!E152</f>
        <v>7</v>
      </c>
      <c r="F67" s="563">
        <f>$E$67</f>
        <v>7</v>
      </c>
      <c r="G67" s="563">
        <f t="shared" ref="G67:O67" si="51">$E$67</f>
        <v>7</v>
      </c>
      <c r="H67" s="563">
        <f t="shared" si="51"/>
        <v>7</v>
      </c>
      <c r="I67" s="563">
        <f t="shared" si="51"/>
        <v>7</v>
      </c>
      <c r="J67" s="563">
        <f t="shared" si="51"/>
        <v>7</v>
      </c>
      <c r="K67" s="563">
        <f t="shared" si="51"/>
        <v>7</v>
      </c>
      <c r="L67" s="563">
        <f t="shared" si="51"/>
        <v>7</v>
      </c>
      <c r="M67" s="563">
        <f t="shared" si="51"/>
        <v>7</v>
      </c>
      <c r="N67" s="563">
        <f t="shared" si="51"/>
        <v>7</v>
      </c>
      <c r="O67" s="563">
        <f t="shared" si="51"/>
        <v>7</v>
      </c>
      <c r="P67" s="86"/>
      <c r="T67" s="19"/>
    </row>
    <row r="68" spans="2:20" outlineLevel="1" x14ac:dyDescent="0.2">
      <c r="C68" s="56" t="s">
        <v>124</v>
      </c>
      <c r="D68" s="82"/>
      <c r="E68" s="564">
        <f>+E66-E67</f>
        <v>140</v>
      </c>
      <c r="F68" s="564">
        <f t="shared" ref="F68" si="52">+F66-F67</f>
        <v>150.29</v>
      </c>
      <c r="G68" s="564">
        <f t="shared" ref="G68" si="53">+G66-G67</f>
        <v>158.94094999999999</v>
      </c>
      <c r="H68" s="564">
        <f t="shared" ref="H68" si="54">+H66-H67</f>
        <v>155.56286637499997</v>
      </c>
      <c r="I68" s="564">
        <f t="shared" ref="I68" si="55">+I66-I67</f>
        <v>162.87819536187496</v>
      </c>
      <c r="J68" s="564">
        <f t="shared" ref="J68" si="56">+J66-J67</f>
        <v>170.52271415315934</v>
      </c>
      <c r="K68" s="564">
        <f t="shared" ref="K68" si="57">+K66-K67</f>
        <v>159.48444282440516</v>
      </c>
      <c r="L68" s="564">
        <f t="shared" ref="L68" si="58">+L66-L67</f>
        <v>166.97624275150338</v>
      </c>
      <c r="M68" s="564">
        <f t="shared" ref="M68" si="59">+M66-M67</f>
        <v>174.80517367532102</v>
      </c>
      <c r="N68" s="564">
        <f t="shared" ref="N68" si="60">+N66-N67</f>
        <v>181.16835475395723</v>
      </c>
      <c r="O68" s="564">
        <f t="shared" ref="O68" si="61">+O66-O67</f>
        <v>185.87256362280618</v>
      </c>
      <c r="P68" s="60"/>
      <c r="T68" s="19"/>
    </row>
    <row r="69" spans="2:20" outlineLevel="1" x14ac:dyDescent="0.2">
      <c r="C69" s="56" t="s">
        <v>74</v>
      </c>
      <c r="D69" s="367">
        <f>'1-Cockpit&amp;assumptions'!E156</f>
        <v>0.25</v>
      </c>
      <c r="E69" s="564"/>
      <c r="F69" s="564"/>
      <c r="G69" s="564"/>
      <c r="H69" s="564"/>
      <c r="I69" s="564"/>
      <c r="J69" s="564"/>
      <c r="K69" s="564"/>
      <c r="L69" s="564"/>
      <c r="M69" s="564"/>
      <c r="N69" s="564"/>
      <c r="O69" s="564"/>
      <c r="P69" s="60"/>
      <c r="T69" s="19"/>
    </row>
    <row r="70" spans="2:20" outlineLevel="1" x14ac:dyDescent="0.2">
      <c r="C70" s="56" t="s">
        <v>125</v>
      </c>
      <c r="D70" s="160"/>
      <c r="E70" s="562">
        <f t="shared" ref="E70:O70" si="62">E68*(1-$D$69)</f>
        <v>105</v>
      </c>
      <c r="F70" s="562">
        <f t="shared" si="62"/>
        <v>112.7175</v>
      </c>
      <c r="G70" s="562">
        <f t="shared" si="62"/>
        <v>119.20571249999999</v>
      </c>
      <c r="H70" s="562">
        <f t="shared" si="62"/>
        <v>116.67214978124997</v>
      </c>
      <c r="I70" s="562">
        <f t="shared" si="62"/>
        <v>122.15864652140621</v>
      </c>
      <c r="J70" s="562">
        <f t="shared" si="62"/>
        <v>127.89203561486951</v>
      </c>
      <c r="K70" s="562">
        <f t="shared" si="62"/>
        <v>119.61333211830387</v>
      </c>
      <c r="L70" s="562">
        <f t="shared" si="62"/>
        <v>125.23218206362753</v>
      </c>
      <c r="M70" s="562">
        <f t="shared" si="62"/>
        <v>131.10388025649075</v>
      </c>
      <c r="N70" s="562">
        <f t="shared" si="62"/>
        <v>135.87626606546792</v>
      </c>
      <c r="O70" s="562">
        <f t="shared" si="62"/>
        <v>139.40442271710464</v>
      </c>
      <c r="P70" s="61"/>
      <c r="T70" s="19"/>
    </row>
    <row r="71" spans="2:20" s="1" customFormat="1" outlineLevel="1" x14ac:dyDescent="0.2">
      <c r="B71" s="4"/>
      <c r="C71" s="66" t="str">
        <f>C17</f>
        <v xml:space="preserve">WCR % growth yoy </v>
      </c>
      <c r="D71" s="367">
        <f>'1-Cockpit&amp;assumptions'!E157</f>
        <v>3.5000000000000003E-2</v>
      </c>
      <c r="E71" s="565"/>
      <c r="F71" s="354">
        <f>$D$71</f>
        <v>3.5000000000000003E-2</v>
      </c>
      <c r="G71" s="354">
        <f t="shared" ref="G71:O71" si="63">$D$71</f>
        <v>3.5000000000000003E-2</v>
      </c>
      <c r="H71" s="354">
        <f t="shared" si="63"/>
        <v>3.5000000000000003E-2</v>
      </c>
      <c r="I71" s="354">
        <f t="shared" si="63"/>
        <v>3.5000000000000003E-2</v>
      </c>
      <c r="J71" s="354">
        <f t="shared" si="63"/>
        <v>3.5000000000000003E-2</v>
      </c>
      <c r="K71" s="354">
        <f t="shared" si="63"/>
        <v>3.5000000000000003E-2</v>
      </c>
      <c r="L71" s="354">
        <f t="shared" si="63"/>
        <v>3.5000000000000003E-2</v>
      </c>
      <c r="M71" s="354">
        <f t="shared" si="63"/>
        <v>3.5000000000000003E-2</v>
      </c>
      <c r="N71" s="354">
        <f t="shared" si="63"/>
        <v>3.5000000000000003E-2</v>
      </c>
      <c r="O71" s="354">
        <f t="shared" si="63"/>
        <v>3.5000000000000003E-2</v>
      </c>
      <c r="P71" s="87"/>
      <c r="T71" s="130"/>
    </row>
    <row r="72" spans="2:20" s="1" customFormat="1" outlineLevel="1" x14ac:dyDescent="0.2">
      <c r="B72" s="4"/>
      <c r="C72" s="66" t="str">
        <f>C18</f>
        <v>WCR</v>
      </c>
      <c r="D72" s="160"/>
      <c r="E72" s="355">
        <f>'1-Cockpit&amp;assumptions'!E141</f>
        <v>5</v>
      </c>
      <c r="F72" s="355">
        <f>E72*(1+F71)</f>
        <v>5.1749999999999998</v>
      </c>
      <c r="G72" s="355">
        <f t="shared" ref="G72" si="64">F72*(1+G71)</f>
        <v>5.3561249999999996</v>
      </c>
      <c r="H72" s="355">
        <f t="shared" ref="H72" si="65">G72*(1+H71)</f>
        <v>5.5435893749999989</v>
      </c>
      <c r="I72" s="355">
        <f t="shared" ref="I72" si="66">H72*(1+I71)</f>
        <v>5.7376150031249988</v>
      </c>
      <c r="J72" s="355">
        <f t="shared" ref="J72" si="67">I72*(1+J71)</f>
        <v>5.9384315282343731</v>
      </c>
      <c r="K72" s="355">
        <f t="shared" ref="K72" si="68">J72*(1+K71)</f>
        <v>6.1462766317225759</v>
      </c>
      <c r="L72" s="355">
        <f t="shared" ref="L72" si="69">K72*(1+L71)</f>
        <v>6.3613963138328655</v>
      </c>
      <c r="M72" s="355">
        <f t="shared" ref="M72" si="70">L72*(1+M71)</f>
        <v>6.5840451848170156</v>
      </c>
      <c r="N72" s="355">
        <f t="shared" ref="N72" si="71">M72*(1+N71)</f>
        <v>6.8144867662856106</v>
      </c>
      <c r="O72" s="355">
        <f t="shared" ref="O72" si="72">N72*(1+O71)</f>
        <v>7.0529938031056068</v>
      </c>
      <c r="P72" s="88"/>
    </row>
    <row r="73" spans="2:20" outlineLevel="1" x14ac:dyDescent="0.2">
      <c r="B73" s="47"/>
      <c r="C73" s="66" t="str">
        <f>C19</f>
        <v>change in WCR</v>
      </c>
      <c r="D73" s="160"/>
      <c r="E73" s="355">
        <f>'1-Cockpit&amp;assumptions'!E141-'1-Cockpit&amp;assumptions'!D141</f>
        <v>1</v>
      </c>
      <c r="F73" s="356">
        <f>F72-E72</f>
        <v>0.17499999999999982</v>
      </c>
      <c r="G73" s="356">
        <f t="shared" ref="G73" si="73">G72-F72</f>
        <v>0.18112499999999976</v>
      </c>
      <c r="H73" s="356">
        <f t="shared" ref="H73" si="74">H72-G72</f>
        <v>0.18746437499999935</v>
      </c>
      <c r="I73" s="356">
        <f t="shared" ref="I73" si="75">I72-H72</f>
        <v>0.1940256281249999</v>
      </c>
      <c r="J73" s="356">
        <f t="shared" ref="J73" si="76">J72-I72</f>
        <v>0.20081652510937431</v>
      </c>
      <c r="K73" s="356">
        <f t="shared" ref="K73" si="77">K72-J72</f>
        <v>0.20784510348820273</v>
      </c>
      <c r="L73" s="356">
        <f t="shared" ref="L73" si="78">L72-K72</f>
        <v>0.21511968211028965</v>
      </c>
      <c r="M73" s="356">
        <f t="shared" ref="M73" si="79">M72-L72</f>
        <v>0.22264887098415009</v>
      </c>
      <c r="N73" s="356">
        <f t="shared" ref="N73" si="80">N72-M72</f>
        <v>0.23044158146859495</v>
      </c>
      <c r="O73" s="356">
        <f t="shared" ref="O73" si="81">O72-N72</f>
        <v>0.23850703681999619</v>
      </c>
      <c r="P73" s="89"/>
    </row>
    <row r="74" spans="2:20" s="1" customFormat="1" outlineLevel="1" x14ac:dyDescent="0.2">
      <c r="B74" s="11"/>
      <c r="C74" s="56" t="s">
        <v>129</v>
      </c>
      <c r="D74" s="82"/>
      <c r="E74" s="352">
        <f>E70-E73+E67</f>
        <v>111</v>
      </c>
      <c r="F74" s="352">
        <f t="shared" ref="F74:O74" si="82">F70-F73+F67</f>
        <v>119.5425</v>
      </c>
      <c r="G74" s="352">
        <f t="shared" si="82"/>
        <v>126.0245875</v>
      </c>
      <c r="H74" s="352">
        <f t="shared" si="82"/>
        <v>123.48468540624997</v>
      </c>
      <c r="I74" s="352">
        <f t="shared" si="82"/>
        <v>128.96462089328122</v>
      </c>
      <c r="J74" s="352">
        <f t="shared" si="82"/>
        <v>134.69121908976012</v>
      </c>
      <c r="K74" s="352">
        <f t="shared" si="82"/>
        <v>126.40548701481568</v>
      </c>
      <c r="L74" s="352">
        <f t="shared" si="82"/>
        <v>132.01706238151723</v>
      </c>
      <c r="M74" s="352">
        <f t="shared" si="82"/>
        <v>137.8812313855066</v>
      </c>
      <c r="N74" s="352">
        <f t="shared" si="82"/>
        <v>142.64582448399932</v>
      </c>
      <c r="O74" s="352">
        <f t="shared" si="82"/>
        <v>146.16591568028463</v>
      </c>
      <c r="P74" s="60"/>
    </row>
    <row r="75" spans="2:20" outlineLevel="1" x14ac:dyDescent="0.2">
      <c r="C75" s="2" t="s">
        <v>130</v>
      </c>
      <c r="D75" s="158"/>
      <c r="E75" s="355">
        <f>'1-Cockpit&amp;assumptions'!E155</f>
        <v>8</v>
      </c>
      <c r="F75" s="355">
        <f t="shared" ref="F75:O76" si="83">E75</f>
        <v>8</v>
      </c>
      <c r="G75" s="355">
        <f t="shared" si="83"/>
        <v>8</v>
      </c>
      <c r="H75" s="355">
        <f t="shared" si="83"/>
        <v>8</v>
      </c>
      <c r="I75" s="355">
        <f t="shared" si="83"/>
        <v>8</v>
      </c>
      <c r="J75" s="355">
        <f t="shared" si="83"/>
        <v>8</v>
      </c>
      <c r="K75" s="355">
        <f t="shared" si="83"/>
        <v>8</v>
      </c>
      <c r="L75" s="355">
        <f t="shared" si="83"/>
        <v>8</v>
      </c>
      <c r="M75" s="355">
        <f t="shared" si="83"/>
        <v>8</v>
      </c>
      <c r="N75" s="355">
        <f t="shared" si="83"/>
        <v>8</v>
      </c>
      <c r="O75" s="355">
        <f t="shared" si="83"/>
        <v>8</v>
      </c>
      <c r="P75" s="90"/>
    </row>
    <row r="76" spans="2:20" ht="15" outlineLevel="1" x14ac:dyDescent="0.35">
      <c r="C76" s="2" t="s">
        <v>59</v>
      </c>
      <c r="D76" s="158"/>
      <c r="E76" s="357">
        <f>'1-Cockpit&amp;assumptions'!E158</f>
        <v>0</v>
      </c>
      <c r="F76" s="357">
        <f>E76</f>
        <v>0</v>
      </c>
      <c r="G76" s="357">
        <f t="shared" si="83"/>
        <v>0</v>
      </c>
      <c r="H76" s="357">
        <f t="shared" si="83"/>
        <v>0</v>
      </c>
      <c r="I76" s="357">
        <f t="shared" si="83"/>
        <v>0</v>
      </c>
      <c r="J76" s="357">
        <f t="shared" si="83"/>
        <v>0</v>
      </c>
      <c r="K76" s="357">
        <f t="shared" si="83"/>
        <v>0</v>
      </c>
      <c r="L76" s="357">
        <f t="shared" si="83"/>
        <v>0</v>
      </c>
      <c r="M76" s="357">
        <f t="shared" si="83"/>
        <v>0</v>
      </c>
      <c r="N76" s="357">
        <f t="shared" si="83"/>
        <v>0</v>
      </c>
      <c r="O76" s="357">
        <f t="shared" si="83"/>
        <v>0</v>
      </c>
      <c r="P76" s="62"/>
    </row>
    <row r="77" spans="2:20" s="1" customFormat="1" outlineLevel="1" x14ac:dyDescent="0.2">
      <c r="B77" s="11"/>
      <c r="C77" s="56" t="s">
        <v>131</v>
      </c>
      <c r="D77" s="82"/>
      <c r="E77" s="353">
        <f>+E75-E76</f>
        <v>8</v>
      </c>
      <c r="F77" s="353">
        <f t="shared" ref="F77" si="84">+F75-F76</f>
        <v>8</v>
      </c>
      <c r="G77" s="353">
        <f t="shared" ref="G77" si="85">+G75-G76</f>
        <v>8</v>
      </c>
      <c r="H77" s="353">
        <f t="shared" ref="H77" si="86">+H75-H76</f>
        <v>8</v>
      </c>
      <c r="I77" s="353">
        <f t="shared" ref="I77" si="87">+I75-I76</f>
        <v>8</v>
      </c>
      <c r="J77" s="353">
        <f t="shared" ref="J77" si="88">+J75-J76</f>
        <v>8</v>
      </c>
      <c r="K77" s="353">
        <f t="shared" ref="K77" si="89">+K75-K76</f>
        <v>8</v>
      </c>
      <c r="L77" s="353">
        <f t="shared" ref="L77" si="90">+L75-L76</f>
        <v>8</v>
      </c>
      <c r="M77" s="353">
        <f t="shared" ref="M77" si="91">+M75-M76</f>
        <v>8</v>
      </c>
      <c r="N77" s="353">
        <f t="shared" ref="N77" si="92">+N75-N76</f>
        <v>8</v>
      </c>
      <c r="O77" s="353">
        <f t="shared" ref="O77" si="93">+O75-O76</f>
        <v>8</v>
      </c>
      <c r="P77" s="63"/>
    </row>
    <row r="78" spans="2:20" s="1" customFormat="1" ht="13.15" customHeight="1" outlineLevel="1" x14ac:dyDescent="0.2">
      <c r="B78" s="11"/>
      <c r="C78" s="56"/>
      <c r="D78" s="82"/>
      <c r="E78" s="352"/>
      <c r="F78" s="352"/>
      <c r="G78" s="352"/>
      <c r="H78" s="353"/>
      <c r="I78" s="353"/>
      <c r="J78" s="353"/>
      <c r="K78" s="353"/>
      <c r="L78" s="353"/>
      <c r="M78" s="353"/>
      <c r="N78" s="353"/>
      <c r="O78" s="358"/>
    </row>
    <row r="79" spans="2:20" s="1" customFormat="1" outlineLevel="1" x14ac:dyDescent="0.2">
      <c r="B79" s="11"/>
      <c r="C79" s="56" t="s">
        <v>132</v>
      </c>
      <c r="D79" s="82"/>
      <c r="E79" s="352">
        <f>E74-E77</f>
        <v>103</v>
      </c>
      <c r="F79" s="352">
        <f t="shared" ref="F79:O79" si="94">F74-F77</f>
        <v>111.5425</v>
      </c>
      <c r="G79" s="352">
        <f t="shared" si="94"/>
        <v>118.0245875</v>
      </c>
      <c r="H79" s="352">
        <f t="shared" si="94"/>
        <v>115.48468540624997</v>
      </c>
      <c r="I79" s="352">
        <f t="shared" si="94"/>
        <v>120.96462089328122</v>
      </c>
      <c r="J79" s="352">
        <f t="shared" si="94"/>
        <v>126.69121908976012</v>
      </c>
      <c r="K79" s="352">
        <f t="shared" si="94"/>
        <v>118.40548701481568</v>
      </c>
      <c r="L79" s="352">
        <f t="shared" si="94"/>
        <v>124.01706238151723</v>
      </c>
      <c r="M79" s="352">
        <f t="shared" si="94"/>
        <v>129.8812313855066</v>
      </c>
      <c r="N79" s="352">
        <f t="shared" si="94"/>
        <v>134.64582448399932</v>
      </c>
      <c r="O79" s="352">
        <f t="shared" si="94"/>
        <v>138.16591568028463</v>
      </c>
      <c r="P79" s="60"/>
      <c r="Q79" s="1" t="s">
        <v>154</v>
      </c>
      <c r="R79" s="225">
        <v>10</v>
      </c>
    </row>
    <row r="80" spans="2:20" s="1" customFormat="1" outlineLevel="1" x14ac:dyDescent="0.2">
      <c r="B80" s="11"/>
      <c r="C80" s="56" t="s">
        <v>155</v>
      </c>
      <c r="D80" s="82"/>
      <c r="E80" s="352"/>
      <c r="F80" s="352"/>
      <c r="G80" s="352"/>
      <c r="H80" s="352"/>
      <c r="I80" s="352"/>
      <c r="J80" s="352"/>
      <c r="K80" s="352"/>
      <c r="L80" s="352"/>
      <c r="M80" s="352"/>
      <c r="N80" s="352"/>
      <c r="O80" s="352">
        <f>INDEX(R81:R83,R85)</f>
        <v>4720.6687857430579</v>
      </c>
      <c r="P80" s="60"/>
    </row>
    <row r="81" spans="2:19" s="1" customFormat="1" outlineLevel="1" x14ac:dyDescent="0.2">
      <c r="B81" s="11"/>
      <c r="C81" s="56" t="s">
        <v>134</v>
      </c>
      <c r="D81" s="82"/>
      <c r="E81" s="352">
        <f>SUM(E79:E80)</f>
        <v>103</v>
      </c>
      <c r="F81" s="352">
        <f t="shared" ref="F81:O81" si="95">SUM(F79:F80)</f>
        <v>111.5425</v>
      </c>
      <c r="G81" s="352">
        <f t="shared" si="95"/>
        <v>118.0245875</v>
      </c>
      <c r="H81" s="352">
        <f t="shared" si="95"/>
        <v>115.48468540624997</v>
      </c>
      <c r="I81" s="352">
        <f t="shared" si="95"/>
        <v>120.96462089328122</v>
      </c>
      <c r="J81" s="352">
        <f t="shared" si="95"/>
        <v>126.69121908976012</v>
      </c>
      <c r="K81" s="352">
        <f t="shared" si="95"/>
        <v>118.40548701481568</v>
      </c>
      <c r="L81" s="352">
        <f t="shared" si="95"/>
        <v>124.01706238151723</v>
      </c>
      <c r="M81" s="352">
        <f t="shared" si="95"/>
        <v>129.8812313855066</v>
      </c>
      <c r="N81" s="352">
        <f t="shared" si="95"/>
        <v>134.64582448399932</v>
      </c>
      <c r="O81" s="352">
        <f t="shared" si="95"/>
        <v>4858.8347014233423</v>
      </c>
      <c r="P81" s="60"/>
      <c r="Q81" s="1" t="s">
        <v>156</v>
      </c>
      <c r="R81" s="165">
        <f>O79*(1+D61)/(D62-D61)</f>
        <v>4720.6687857430579</v>
      </c>
    </row>
    <row r="82" spans="2:19" s="1" customFormat="1" outlineLevel="1" x14ac:dyDescent="0.2">
      <c r="B82" s="11"/>
      <c r="C82" s="492" t="s">
        <v>157</v>
      </c>
      <c r="D82" s="493"/>
      <c r="E82" s="503">
        <f>NPV(D62,F81:O81)</f>
        <v>3688.1248304245642</v>
      </c>
      <c r="F82" s="191"/>
      <c r="G82" s="191"/>
      <c r="H82" s="191"/>
      <c r="I82" s="191"/>
      <c r="J82" s="191"/>
      <c r="K82" s="191"/>
      <c r="L82" s="191"/>
      <c r="M82" s="191"/>
      <c r="N82" s="191"/>
      <c r="O82" s="191"/>
      <c r="P82" s="60"/>
      <c r="Q82" s="1" t="e">
        <f ca="1">_xlfn.CONCAT("Multiple of ",R79," times EBIT")</f>
        <v>#NAME?</v>
      </c>
      <c r="R82" s="165">
        <f>O68*R79</f>
        <v>1858.7256362280618</v>
      </c>
      <c r="S82" s="5" t="str">
        <f ca="1">_xlfn.FORMULATEXT(Q82)</f>
        <v>=_xlfn.CONCAT("Multiple of ",R79," times EBIT")</v>
      </c>
    </row>
    <row r="83" spans="2:19" s="1" customFormat="1" outlineLevel="1" x14ac:dyDescent="0.2">
      <c r="B83" s="11"/>
      <c r="C83" s="56"/>
      <c r="D83" s="82"/>
      <c r="E83" s="191"/>
      <c r="F83" s="191"/>
      <c r="G83" s="191"/>
      <c r="H83" s="191"/>
      <c r="I83" s="191"/>
      <c r="J83" s="191"/>
      <c r="K83" s="191"/>
      <c r="L83" s="191"/>
      <c r="M83" s="191"/>
      <c r="N83" s="191"/>
      <c r="O83" s="191"/>
      <c r="P83" s="60"/>
      <c r="R83" s="165"/>
    </row>
    <row r="84" spans="2:19" s="1" customFormat="1" outlineLevel="1" x14ac:dyDescent="0.2">
      <c r="B84" s="11"/>
      <c r="C84" s="499" t="s">
        <v>136</v>
      </c>
      <c r="D84" s="82"/>
      <c r="E84" s="181"/>
      <c r="F84" s="181"/>
      <c r="G84" s="181"/>
      <c r="H84" s="181"/>
      <c r="I84" s="181"/>
      <c r="J84" s="181"/>
      <c r="K84" s="181"/>
      <c r="L84" s="181"/>
      <c r="M84" s="181"/>
      <c r="N84" s="181"/>
      <c r="O84" s="181"/>
      <c r="P84" s="201"/>
    </row>
    <row r="85" spans="2:19" s="1" customFormat="1" outlineLevel="1" x14ac:dyDescent="0.2">
      <c r="B85" s="11"/>
      <c r="C85" s="500" t="s">
        <v>137</v>
      </c>
      <c r="D85" s="82"/>
      <c r="E85" s="360">
        <f t="shared" ref="E85:O85" si="96">1/(1+$D$62)^E57</f>
        <v>1</v>
      </c>
      <c r="F85" s="360">
        <f t="shared" si="96"/>
        <v>0.94786729857819907</v>
      </c>
      <c r="G85" s="360">
        <f t="shared" si="96"/>
        <v>0.89845241571393286</v>
      </c>
      <c r="H85" s="360">
        <f t="shared" si="96"/>
        <v>0.85161366418382267</v>
      </c>
      <c r="I85" s="360">
        <f t="shared" si="96"/>
        <v>0.80721674330220161</v>
      </c>
      <c r="J85" s="360">
        <f t="shared" si="96"/>
        <v>0.76513435384094941</v>
      </c>
      <c r="K85" s="360">
        <f t="shared" si="96"/>
        <v>0.72524583302459655</v>
      </c>
      <c r="L85" s="360">
        <f t="shared" si="96"/>
        <v>0.68743680855412004</v>
      </c>
      <c r="M85" s="360">
        <f t="shared" si="96"/>
        <v>0.6515988706674124</v>
      </c>
      <c r="N85" s="360">
        <f t="shared" si="96"/>
        <v>0.6176292612961255</v>
      </c>
      <c r="O85" s="360">
        <f t="shared" si="96"/>
        <v>0.58543057942760712</v>
      </c>
      <c r="P85" s="201"/>
      <c r="Q85" s="374" t="s">
        <v>158</v>
      </c>
      <c r="R85" s="375">
        <v>1</v>
      </c>
    </row>
    <row r="86" spans="2:19" s="1" customFormat="1" outlineLevel="1" x14ac:dyDescent="0.2">
      <c r="B86" s="11"/>
      <c r="C86" s="501" t="s">
        <v>138</v>
      </c>
      <c r="D86" s="82"/>
      <c r="E86" s="360">
        <f t="shared" ref="E86:O86" si="97">E79*E85</f>
        <v>103</v>
      </c>
      <c r="F86" s="360">
        <f t="shared" si="97"/>
        <v>105.72748815165878</v>
      </c>
      <c r="G86" s="360">
        <f t="shared" si="97"/>
        <v>106.03947575301544</v>
      </c>
      <c r="H86" s="360">
        <f t="shared" si="97"/>
        <v>98.348336095932567</v>
      </c>
      <c r="I86" s="360">
        <f t="shared" si="97"/>
        <v>97.644667332259928</v>
      </c>
      <c r="J86" s="360">
        <f t="shared" si="97"/>
        <v>96.935804055565768</v>
      </c>
      <c r="K86" s="360">
        <f t="shared" si="97"/>
        <v>85.873086064743049</v>
      </c>
      <c r="L86" s="360">
        <f t="shared" si="97"/>
        <v>85.253893569807431</v>
      </c>
      <c r="M86" s="360">
        <f t="shared" si="97"/>
        <v>84.630463691688973</v>
      </c>
      <c r="N86" s="360">
        <f t="shared" si="97"/>
        <v>83.161201112660265</v>
      </c>
      <c r="O86" s="360">
        <f t="shared" si="97"/>
        <v>80.886552073854944</v>
      </c>
      <c r="P86" s="201"/>
      <c r="R86" s="165"/>
    </row>
    <row r="87" spans="2:19" s="1" customFormat="1" outlineLevel="1" x14ac:dyDescent="0.2">
      <c r="B87" s="11"/>
      <c r="C87" s="502" t="s">
        <v>155</v>
      </c>
      <c r="D87" s="187"/>
      <c r="E87" s="368">
        <f>O87*O85</f>
        <v>2763.6238625233768</v>
      </c>
      <c r="F87" s="362"/>
      <c r="G87" s="363"/>
      <c r="H87" s="364"/>
      <c r="I87" s="364"/>
      <c r="J87" s="364"/>
      <c r="K87" s="364"/>
      <c r="L87" s="364"/>
      <c r="M87" s="364"/>
      <c r="N87" s="364"/>
      <c r="O87" s="361">
        <f>O79*(1+D61)/(D62-D61)</f>
        <v>4720.6687857430579</v>
      </c>
      <c r="P87" s="201"/>
      <c r="R87" s="165"/>
    </row>
    <row r="88" spans="2:19" s="1" customFormat="1" outlineLevel="1" x14ac:dyDescent="0.2">
      <c r="B88" s="11"/>
      <c r="C88" s="501"/>
      <c r="D88" s="82"/>
      <c r="F88" s="202"/>
      <c r="G88" s="202"/>
      <c r="H88" s="202"/>
      <c r="I88" s="202"/>
      <c r="J88" s="202"/>
      <c r="K88" s="202"/>
      <c r="L88" s="202"/>
      <c r="M88" s="202"/>
      <c r="N88" s="202"/>
      <c r="O88" s="202"/>
      <c r="P88" s="201"/>
      <c r="R88" s="165"/>
    </row>
    <row r="89" spans="2:19" s="1" customFormat="1" outlineLevel="1" x14ac:dyDescent="0.2">
      <c r="B89" s="11"/>
      <c r="C89" s="501" t="s">
        <v>140</v>
      </c>
      <c r="D89" s="187"/>
      <c r="E89" s="369">
        <f>E87+SUM(F86:O86)</f>
        <v>3688.1248304245637</v>
      </c>
      <c r="F89" s="202"/>
      <c r="G89" s="202"/>
      <c r="H89" s="202"/>
      <c r="I89" s="202"/>
      <c r="J89" s="202"/>
      <c r="K89" s="202"/>
      <c r="L89" s="202"/>
      <c r="M89" s="202"/>
      <c r="N89" s="202"/>
      <c r="O89" s="202"/>
      <c r="P89" s="201"/>
    </row>
    <row r="90" spans="2:19" s="1" customFormat="1" outlineLevel="1" x14ac:dyDescent="0.2">
      <c r="B90" s="11"/>
      <c r="C90" s="56"/>
      <c r="D90" s="82"/>
      <c r="E90" s="202"/>
      <c r="F90" s="202"/>
      <c r="G90" s="202"/>
      <c r="H90" s="202"/>
      <c r="I90" s="202"/>
      <c r="J90" s="202"/>
      <c r="K90" s="202"/>
      <c r="L90" s="202"/>
      <c r="M90" s="202"/>
      <c r="N90" s="202"/>
      <c r="O90" s="202"/>
      <c r="P90" s="201"/>
    </row>
    <row r="91" spans="2:19" s="1" customFormat="1" outlineLevel="1" x14ac:dyDescent="0.2">
      <c r="B91" s="4"/>
      <c r="C91" s="105" t="s">
        <v>144</v>
      </c>
      <c r="D91" s="495"/>
      <c r="E91" s="496">
        <f>SUM(F86:O86)/$E$89</f>
        <v>0.25066965203419156</v>
      </c>
      <c r="F91" s="181"/>
      <c r="G91" s="203"/>
      <c r="H91" s="185"/>
      <c r="I91" s="181"/>
      <c r="J91" s="181"/>
      <c r="K91" s="181"/>
      <c r="L91" s="181"/>
      <c r="M91" s="181"/>
      <c r="N91" s="181"/>
      <c r="O91" s="181"/>
      <c r="P91" s="178"/>
    </row>
    <row r="92" spans="2:19" ht="15" outlineLevel="1" x14ac:dyDescent="0.35">
      <c r="B92" s="47"/>
      <c r="C92" s="105" t="s">
        <v>145</v>
      </c>
      <c r="D92" s="495"/>
      <c r="E92" s="496">
        <f>E87/$E$89</f>
        <v>0.74933034796580855</v>
      </c>
      <c r="F92" s="182"/>
      <c r="G92" s="204"/>
      <c r="H92" s="205"/>
      <c r="I92" s="182"/>
      <c r="J92" s="182"/>
      <c r="K92" s="182"/>
      <c r="L92" s="182"/>
      <c r="M92" s="182"/>
      <c r="N92" s="182"/>
      <c r="O92" s="182"/>
      <c r="P92" s="176"/>
    </row>
    <row r="93" spans="2:19" outlineLevel="1" x14ac:dyDescent="0.2">
      <c r="B93" s="47"/>
      <c r="C93" s="5" t="s">
        <v>146</v>
      </c>
      <c r="D93" s="171"/>
      <c r="E93" s="356">
        <f>'1-Cockpit&amp;assumptions'!E143</f>
        <v>110</v>
      </c>
      <c r="F93" s="165"/>
      <c r="G93" s="192"/>
      <c r="H93" s="193"/>
      <c r="I93" s="166"/>
      <c r="J93" s="166"/>
      <c r="K93" s="166"/>
      <c r="L93" s="166"/>
      <c r="M93" s="166"/>
      <c r="N93" s="166"/>
      <c r="O93" s="166"/>
    </row>
    <row r="94" spans="2:19" outlineLevel="1" x14ac:dyDescent="0.2">
      <c r="B94" s="47"/>
      <c r="C94" s="1" t="s">
        <v>147</v>
      </c>
      <c r="D94" s="171"/>
      <c r="E94" s="575">
        <f>E82-E93</f>
        <v>3578.1248304245642</v>
      </c>
      <c r="F94" s="577"/>
      <c r="G94" s="194"/>
      <c r="H94" s="193"/>
      <c r="I94" s="166"/>
      <c r="J94" s="166"/>
      <c r="K94" s="166"/>
      <c r="L94" s="166"/>
      <c r="M94" s="166"/>
      <c r="N94" s="166"/>
      <c r="O94" s="166"/>
    </row>
    <row r="95" spans="2:19" outlineLevel="1" x14ac:dyDescent="0.2">
      <c r="C95" s="5" t="s">
        <v>60</v>
      </c>
      <c r="D95" s="171"/>
      <c r="E95" s="356">
        <f>'1-Cockpit&amp;assumptions'!E159</f>
        <v>25000</v>
      </c>
      <c r="F95" s="572"/>
      <c r="G95" s="194"/>
      <c r="H95" s="195"/>
      <c r="I95" s="166"/>
      <c r="J95" s="166"/>
      <c r="K95" s="166"/>
      <c r="L95" s="166"/>
      <c r="M95" s="166"/>
      <c r="N95" s="166"/>
      <c r="O95" s="166"/>
    </row>
    <row r="96" spans="2:19" s="14" customFormat="1" outlineLevel="1" x14ac:dyDescent="0.2">
      <c r="B96" s="13"/>
      <c r="C96" s="1" t="s">
        <v>159</v>
      </c>
      <c r="D96" s="172"/>
      <c r="E96" s="576">
        <f>E94/(E95/1000)</f>
        <v>143.12499321698257</v>
      </c>
      <c r="F96" s="578"/>
      <c r="G96" s="196"/>
      <c r="H96" s="197"/>
      <c r="I96" s="198"/>
      <c r="J96" s="198"/>
      <c r="K96" s="198"/>
      <c r="L96" s="198"/>
      <c r="M96" s="198"/>
      <c r="N96" s="198"/>
      <c r="O96" s="198"/>
    </row>
    <row r="97" spans="2:15" s="14" customFormat="1" outlineLevel="1" x14ac:dyDescent="0.2">
      <c r="B97" s="13"/>
      <c r="C97" s="1" t="s">
        <v>160</v>
      </c>
      <c r="D97" s="172"/>
      <c r="E97" s="370">
        <f>'1-Cockpit&amp;assumptions'!$E$160</f>
        <v>95</v>
      </c>
      <c r="F97" s="573"/>
      <c r="G97" s="199"/>
      <c r="H97" s="200"/>
      <c r="I97" s="198"/>
      <c r="J97" s="198"/>
      <c r="K97" s="198"/>
      <c r="L97" s="198"/>
      <c r="M97" s="198"/>
      <c r="N97" s="198"/>
      <c r="O97" s="198"/>
    </row>
    <row r="98" spans="2:15" outlineLevel="1" x14ac:dyDescent="0.2">
      <c r="C98" s="1" t="s">
        <v>161</v>
      </c>
      <c r="D98" s="171"/>
      <c r="E98" s="371">
        <f>(E97-E96)/E96</f>
        <v>-0.33624451002784239</v>
      </c>
      <c r="F98" s="574"/>
      <c r="G98" s="112"/>
      <c r="H98" s="99"/>
    </row>
    <row r="99" spans="2:15" outlineLevel="1" x14ac:dyDescent="0.2">
      <c r="C99" s="1"/>
      <c r="D99" s="171"/>
      <c r="E99" s="186"/>
      <c r="F99" s="111"/>
      <c r="G99" s="112"/>
      <c r="H99" s="99"/>
    </row>
    <row r="100" spans="2:15" x14ac:dyDescent="0.2">
      <c r="C100" s="1"/>
      <c r="D100" s="171"/>
      <c r="E100" s="186"/>
      <c r="F100" s="111"/>
      <c r="G100" s="112"/>
      <c r="H100" s="99"/>
    </row>
    <row r="101" spans="2:15" s="77" customFormat="1" x14ac:dyDescent="0.2">
      <c r="B101" s="129">
        <f>B55+1</f>
        <v>3</v>
      </c>
      <c r="C101" s="74" t="s">
        <v>162</v>
      </c>
      <c r="D101" s="79"/>
      <c r="E101" s="75"/>
      <c r="F101" s="75"/>
      <c r="G101" s="76"/>
      <c r="H101" s="75"/>
      <c r="I101" s="75"/>
      <c r="J101" s="75"/>
      <c r="K101" s="75"/>
      <c r="L101" s="75"/>
      <c r="M101" s="75"/>
      <c r="N101" s="75"/>
    </row>
    <row r="102" spans="2:15" outlineLevel="1" x14ac:dyDescent="0.2">
      <c r="C102" s="1"/>
      <c r="D102" s="171"/>
      <c r="E102" s="186"/>
      <c r="F102" s="111"/>
      <c r="G102" s="112"/>
      <c r="H102" s="99"/>
    </row>
    <row r="103" spans="2:15" outlineLevel="1" x14ac:dyDescent="0.2">
      <c r="C103" s="1"/>
      <c r="D103" s="171"/>
      <c r="E103" s="186"/>
      <c r="F103" s="111"/>
      <c r="G103" s="112"/>
      <c r="H103" s="99"/>
    </row>
    <row r="104" spans="2:15" outlineLevel="1" x14ac:dyDescent="0.2">
      <c r="C104" s="1"/>
      <c r="D104" s="171"/>
      <c r="E104" s="186"/>
      <c r="F104" s="111"/>
      <c r="G104" s="112"/>
      <c r="H104" s="99"/>
    </row>
    <row r="105" spans="2:15" outlineLevel="1" x14ac:dyDescent="0.2">
      <c r="C105" s="1"/>
      <c r="D105" s="171"/>
      <c r="E105" s="186"/>
      <c r="F105" s="111"/>
      <c r="G105" s="112"/>
      <c r="H105" s="99"/>
    </row>
    <row r="106" spans="2:15" outlineLevel="1" x14ac:dyDescent="0.2">
      <c r="C106" s="1"/>
      <c r="D106" s="171"/>
      <c r="E106" s="186"/>
      <c r="F106" s="111"/>
      <c r="G106" s="112"/>
      <c r="H106" s="99"/>
    </row>
    <row r="107" spans="2:15" outlineLevel="1" x14ac:dyDescent="0.2">
      <c r="C107" s="1"/>
      <c r="D107" s="171"/>
      <c r="E107" s="186"/>
      <c r="F107" s="111"/>
      <c r="G107" s="112"/>
      <c r="H107" s="99"/>
    </row>
    <row r="108" spans="2:15" outlineLevel="1" x14ac:dyDescent="0.2">
      <c r="C108" s="1"/>
      <c r="D108" s="171"/>
      <c r="E108" s="186"/>
      <c r="F108" s="111"/>
      <c r="G108" s="112"/>
      <c r="H108" s="99"/>
    </row>
    <row r="109" spans="2:15" outlineLevel="1" x14ac:dyDescent="0.2">
      <c r="C109" s="1"/>
      <c r="D109" s="171"/>
      <c r="E109" s="186"/>
      <c r="F109" s="111"/>
      <c r="G109" s="112"/>
      <c r="H109" s="99"/>
    </row>
    <row r="110" spans="2:15" outlineLevel="1" x14ac:dyDescent="0.2">
      <c r="C110" s="1"/>
      <c r="D110" s="171"/>
      <c r="E110" s="186"/>
      <c r="F110" s="111"/>
      <c r="G110" s="112"/>
      <c r="H110" s="99"/>
    </row>
    <row r="111" spans="2:15" outlineLevel="1" x14ac:dyDescent="0.2">
      <c r="C111" s="1"/>
      <c r="D111" s="171"/>
      <c r="E111" s="186"/>
      <c r="F111" s="111"/>
      <c r="G111" s="112"/>
      <c r="H111" s="99"/>
    </row>
    <row r="112" spans="2:15" outlineLevel="1" x14ac:dyDescent="0.2">
      <c r="C112" s="1"/>
      <c r="D112" s="171"/>
      <c r="E112" s="186"/>
      <c r="F112" s="111"/>
      <c r="G112" s="112"/>
      <c r="H112" s="99"/>
    </row>
    <row r="113" spans="2:15" outlineLevel="1" x14ac:dyDescent="0.2">
      <c r="C113" s="1"/>
      <c r="D113" s="171"/>
      <c r="E113" s="186"/>
      <c r="F113" s="111"/>
      <c r="G113" s="112"/>
      <c r="H113" s="99"/>
    </row>
    <row r="114" spans="2:15" outlineLevel="1" x14ac:dyDescent="0.2">
      <c r="C114" s="1"/>
      <c r="D114" s="171"/>
      <c r="E114" s="186"/>
      <c r="F114" s="111"/>
      <c r="G114" s="112"/>
      <c r="H114" s="99"/>
    </row>
    <row r="115" spans="2:15" outlineLevel="1" x14ac:dyDescent="0.2">
      <c r="C115" s="1"/>
      <c r="D115" s="171"/>
      <c r="E115" s="186"/>
      <c r="F115" s="111"/>
      <c r="G115" s="112"/>
      <c r="H115" s="99"/>
    </row>
    <row r="116" spans="2:15" outlineLevel="1" x14ac:dyDescent="0.2">
      <c r="C116" s="1"/>
      <c r="D116" s="171"/>
      <c r="E116" s="186"/>
      <c r="F116" s="111"/>
      <c r="G116" s="112"/>
      <c r="H116" s="99"/>
    </row>
    <row r="117" spans="2:15" outlineLevel="1" x14ac:dyDescent="0.2">
      <c r="E117" s="8">
        <v>0</v>
      </c>
      <c r="F117" s="8">
        <f>E117+1</f>
        <v>1</v>
      </c>
      <c r="G117" s="8">
        <f t="shared" ref="G117:G118" si="98">F117+1</f>
        <v>2</v>
      </c>
      <c r="H117" s="8">
        <f t="shared" ref="H117:H118" si="99">G117+1</f>
        <v>3</v>
      </c>
      <c r="I117" s="8">
        <f t="shared" ref="I117:I118" si="100">H117+1</f>
        <v>4</v>
      </c>
      <c r="J117" s="8">
        <f t="shared" ref="J117:J118" si="101">I117+1</f>
        <v>5</v>
      </c>
      <c r="K117" s="8">
        <f t="shared" ref="K117:K118" si="102">J117+1</f>
        <v>6</v>
      </c>
      <c r="L117" s="8">
        <f t="shared" ref="L117:L118" si="103">K117+1</f>
        <v>7</v>
      </c>
      <c r="M117" s="8">
        <f t="shared" ref="M117:M118" si="104">L117+1</f>
        <v>8</v>
      </c>
      <c r="N117" s="8">
        <f t="shared" ref="N117:N118" si="105">M117+1</f>
        <v>9</v>
      </c>
      <c r="O117" s="8">
        <f t="shared" ref="O117:O118" si="106">N117+1</f>
        <v>10</v>
      </c>
    </row>
    <row r="118" spans="2:15" s="7" customFormat="1" outlineLevel="1" x14ac:dyDescent="0.2">
      <c r="B118" s="10"/>
      <c r="C118" s="7" t="s">
        <v>118</v>
      </c>
      <c r="D118" s="126"/>
      <c r="E118" s="64">
        <f>'1-Cockpit&amp;assumptions'!E86</f>
        <v>2024</v>
      </c>
      <c r="F118" s="64">
        <f>E118+1</f>
        <v>2025</v>
      </c>
      <c r="G118" s="64">
        <f t="shared" si="98"/>
        <v>2026</v>
      </c>
      <c r="H118" s="64">
        <f t="shared" si="99"/>
        <v>2027</v>
      </c>
      <c r="I118" s="64">
        <f t="shared" si="100"/>
        <v>2028</v>
      </c>
      <c r="J118" s="64">
        <f t="shared" si="101"/>
        <v>2029</v>
      </c>
      <c r="K118" s="64">
        <f t="shared" si="102"/>
        <v>2030</v>
      </c>
      <c r="L118" s="64">
        <f t="shared" si="103"/>
        <v>2031</v>
      </c>
      <c r="M118" s="64">
        <f t="shared" si="104"/>
        <v>2032</v>
      </c>
      <c r="N118" s="64">
        <f t="shared" si="105"/>
        <v>2033</v>
      </c>
      <c r="O118" s="64">
        <f t="shared" si="106"/>
        <v>2034</v>
      </c>
    </row>
    <row r="119" spans="2:15" outlineLevel="1" x14ac:dyDescent="0.2">
      <c r="C119" s="1" t="s">
        <v>80</v>
      </c>
      <c r="D119" s="171"/>
      <c r="E119" s="186">
        <f>'1-Cockpit&amp;assumptions'!E169</f>
        <v>0.05</v>
      </c>
      <c r="F119" s="379">
        <f>'1-Cockpit&amp;assumptions'!F169</f>
        <v>0.05</v>
      </c>
      <c r="G119" s="379">
        <f>'1-Cockpit&amp;assumptions'!G169</f>
        <v>0.05</v>
      </c>
      <c r="H119" s="379">
        <f>'1-Cockpit&amp;assumptions'!H169</f>
        <v>0.05</v>
      </c>
      <c r="I119" s="379">
        <f>'1-Cockpit&amp;assumptions'!I169</f>
        <v>0.05</v>
      </c>
      <c r="J119" s="379">
        <f>'1-Cockpit&amp;assumptions'!J169</f>
        <v>0.05</v>
      </c>
      <c r="K119" s="379">
        <f>'1-Cockpit&amp;assumptions'!K169</f>
        <v>0.05</v>
      </c>
      <c r="L119" s="379">
        <f>'1-Cockpit&amp;assumptions'!L169</f>
        <v>0.05</v>
      </c>
      <c r="M119" s="379">
        <f>'1-Cockpit&amp;assumptions'!M169</f>
        <v>0.05</v>
      </c>
      <c r="N119" s="379">
        <f>'1-Cockpit&amp;assumptions'!N169</f>
        <v>0.05</v>
      </c>
      <c r="O119" s="379">
        <f>'1-Cockpit&amp;assumptions'!O169</f>
        <v>0.05</v>
      </c>
    </row>
    <row r="120" spans="2:15" outlineLevel="1" x14ac:dyDescent="0.2">
      <c r="C120" s="1" t="s">
        <v>163</v>
      </c>
      <c r="D120" s="171"/>
      <c r="E120" s="206"/>
      <c r="F120" s="380">
        <f>F119*F10</f>
        <v>9.5200000000000014</v>
      </c>
      <c r="G120" s="380">
        <f t="shared" ref="G120:O120" si="107">G119*G10</f>
        <v>10.376800000000003</v>
      </c>
      <c r="H120" s="380">
        <f t="shared" si="107"/>
        <v>11.310712000000002</v>
      </c>
      <c r="I120" s="380">
        <f t="shared" si="107"/>
        <v>12.102461840000004</v>
      </c>
      <c r="J120" s="380">
        <f t="shared" si="107"/>
        <v>12.949634168800007</v>
      </c>
      <c r="K120" s="380">
        <f t="shared" si="107"/>
        <v>13.856108560616008</v>
      </c>
      <c r="L120" s="380">
        <f t="shared" si="107"/>
        <v>14.54891398864681</v>
      </c>
      <c r="M120" s="380">
        <f t="shared" si="107"/>
        <v>15.276359688079149</v>
      </c>
      <c r="N120" s="380">
        <f t="shared" si="107"/>
        <v>15.581886881840731</v>
      </c>
      <c r="O120" s="380">
        <f t="shared" si="107"/>
        <v>15.893524619477546</v>
      </c>
    </row>
    <row r="121" spans="2:15" outlineLevel="1" x14ac:dyDescent="0.2">
      <c r="C121" s="1" t="s">
        <v>164</v>
      </c>
      <c r="D121" s="171"/>
      <c r="E121" s="186"/>
      <c r="F121" s="743">
        <f>F12</f>
        <v>0.47</v>
      </c>
      <c r="G121" s="743">
        <f t="shared" ref="G121:O121" si="108">G12</f>
        <v>0.5</v>
      </c>
      <c r="H121" s="743">
        <f t="shared" si="108"/>
        <v>0.5</v>
      </c>
      <c r="I121" s="743">
        <f t="shared" si="108"/>
        <v>0.52</v>
      </c>
      <c r="J121" s="743">
        <f t="shared" si="108"/>
        <v>0.52</v>
      </c>
      <c r="K121" s="743">
        <f t="shared" si="108"/>
        <v>0.47</v>
      </c>
      <c r="L121" s="743">
        <f t="shared" si="108"/>
        <v>0.42</v>
      </c>
      <c r="M121" s="743">
        <f t="shared" si="108"/>
        <v>0.42</v>
      </c>
      <c r="N121" s="743">
        <f t="shared" si="108"/>
        <v>0.42</v>
      </c>
      <c r="O121" s="743">
        <f t="shared" si="108"/>
        <v>0.42</v>
      </c>
    </row>
    <row r="122" spans="2:15" outlineLevel="1" x14ac:dyDescent="0.2">
      <c r="C122" s="1" t="s">
        <v>165</v>
      </c>
      <c r="D122" s="171"/>
      <c r="E122" s="186"/>
      <c r="F122" s="381">
        <f>F121*F120</f>
        <v>4.4744000000000002</v>
      </c>
      <c r="G122" s="381">
        <f t="shared" ref="G122:O122" si="109">G121*G120</f>
        <v>5.1884000000000015</v>
      </c>
      <c r="H122" s="381">
        <f t="shared" si="109"/>
        <v>5.6553560000000012</v>
      </c>
      <c r="I122" s="381">
        <f t="shared" si="109"/>
        <v>6.2932801568000025</v>
      </c>
      <c r="J122" s="381">
        <f t="shared" si="109"/>
        <v>6.7338097677760036</v>
      </c>
      <c r="K122" s="381">
        <f t="shared" si="109"/>
        <v>6.5123710234895231</v>
      </c>
      <c r="L122" s="381">
        <f t="shared" si="109"/>
        <v>6.1105438752316594</v>
      </c>
      <c r="M122" s="381">
        <f t="shared" si="109"/>
        <v>6.4160710689932419</v>
      </c>
      <c r="N122" s="381">
        <f t="shared" si="109"/>
        <v>6.5443924903731068</v>
      </c>
      <c r="O122" s="381">
        <f t="shared" si="109"/>
        <v>6.6752803401805689</v>
      </c>
    </row>
    <row r="123" spans="2:15" outlineLevel="1" x14ac:dyDescent="0.2">
      <c r="C123" s="1" t="s">
        <v>166</v>
      </c>
      <c r="D123" s="171"/>
      <c r="E123" s="186"/>
      <c r="F123" s="381">
        <f>'1-Cockpit&amp;assumptions'!E171*('2-Valuation DCF'!F10-'2-Valuation DCF'!F13)</f>
        <v>10.091200000000001</v>
      </c>
      <c r="G123" s="381">
        <f>'1-Cockpit&amp;assumptions'!F171*('2-Valuation DCF'!G10-'2-Valuation DCF'!G13)</f>
        <v>10.376800000000003</v>
      </c>
      <c r="H123" s="381">
        <f>'1-Cockpit&amp;assumptions'!G171*('2-Valuation DCF'!H10-'2-Valuation DCF'!H13)</f>
        <v>11.310712000000002</v>
      </c>
      <c r="I123" s="381">
        <f>'1-Cockpit&amp;assumptions'!H171*('2-Valuation DCF'!I10-'2-Valuation DCF'!I13)</f>
        <v>11.618363366400004</v>
      </c>
      <c r="J123" s="381">
        <f>'1-Cockpit&amp;assumptions'!I171*('2-Valuation DCF'!J10-'2-Valuation DCF'!J13)</f>
        <v>12.431648802048006</v>
      </c>
      <c r="K123" s="381">
        <f>'1-Cockpit&amp;assumptions'!J171*('2-Valuation DCF'!K10-'2-Valuation DCF'!K13)</f>
        <v>14.687475074252971</v>
      </c>
      <c r="L123" s="381">
        <f>'1-Cockpit&amp;assumptions'!K171*('2-Valuation DCF'!L10-'2-Valuation DCF'!L13)</f>
        <v>16.8767402268303</v>
      </c>
      <c r="M123" s="381">
        <f>'1-Cockpit&amp;assumptions'!L171*('2-Valuation DCF'!M10-'2-Valuation DCF'!M13)</f>
        <v>17.720577238171813</v>
      </c>
      <c r="N123" s="381">
        <f>'1-Cockpit&amp;assumptions'!M171*('2-Valuation DCF'!N10-'2-Valuation DCF'!N13)</f>
        <v>18.074988782935247</v>
      </c>
      <c r="O123" s="381">
        <f>'1-Cockpit&amp;assumptions'!N171*('2-Valuation DCF'!O10-'2-Valuation DCF'!O13)</f>
        <v>18.436488558593954</v>
      </c>
    </row>
    <row r="124" spans="2:15" outlineLevel="1" x14ac:dyDescent="0.2">
      <c r="C124" s="744" t="s">
        <v>167</v>
      </c>
      <c r="D124" s="745"/>
      <c r="E124" s="746"/>
      <c r="F124" s="747">
        <f>F122+F123</f>
        <v>14.5656</v>
      </c>
      <c r="G124" s="747">
        <f t="shared" ref="G124:O124" si="110">G122+G123</f>
        <v>15.565200000000004</v>
      </c>
      <c r="H124" s="747">
        <f t="shared" si="110"/>
        <v>16.966068000000003</v>
      </c>
      <c r="I124" s="747">
        <f t="shared" si="110"/>
        <v>17.911643523200006</v>
      </c>
      <c r="J124" s="747">
        <f t="shared" si="110"/>
        <v>19.165458569824011</v>
      </c>
      <c r="K124" s="747">
        <f t="shared" si="110"/>
        <v>21.199846097742494</v>
      </c>
      <c r="L124" s="747">
        <f t="shared" si="110"/>
        <v>22.98728410206196</v>
      </c>
      <c r="M124" s="747">
        <f t="shared" si="110"/>
        <v>24.136648307165053</v>
      </c>
      <c r="N124" s="747">
        <f t="shared" si="110"/>
        <v>24.619381273308353</v>
      </c>
      <c r="O124" s="747">
        <f t="shared" si="110"/>
        <v>25.111768898774521</v>
      </c>
    </row>
    <row r="125" spans="2:15" outlineLevel="1" x14ac:dyDescent="0.2">
      <c r="C125" s="1"/>
      <c r="D125" s="171"/>
      <c r="E125" s="186"/>
      <c r="F125" s="6"/>
      <c r="G125" s="112"/>
      <c r="H125" s="348"/>
      <c r="I125" s="6"/>
      <c r="J125" s="6"/>
      <c r="K125" s="6"/>
      <c r="L125" s="6"/>
      <c r="M125" s="6"/>
      <c r="N125" s="6"/>
      <c r="O125" s="6"/>
    </row>
    <row r="126" spans="2:15" outlineLevel="1" x14ac:dyDescent="0.2">
      <c r="C126" s="1" t="str">
        <f>'1-Cockpit&amp;assumptions'!C172</f>
        <v>Implementation costs as % of gross synergies</v>
      </c>
      <c r="D126" s="171"/>
      <c r="E126" s="186"/>
      <c r="F126" s="379">
        <f>'1-Cockpit&amp;assumptions'!E172</f>
        <v>0.8</v>
      </c>
      <c r="G126" s="379">
        <f>'1-Cockpit&amp;assumptions'!F172</f>
        <v>0.5</v>
      </c>
      <c r="H126" s="379">
        <f>'1-Cockpit&amp;assumptions'!G172</f>
        <v>0.2</v>
      </c>
      <c r="I126" s="382"/>
      <c r="J126" s="382"/>
      <c r="K126" s="382"/>
      <c r="L126" s="382"/>
      <c r="M126" s="382"/>
      <c r="N126" s="382"/>
      <c r="O126" s="382"/>
    </row>
    <row r="127" spans="2:15" outlineLevel="1" x14ac:dyDescent="0.2">
      <c r="C127" s="744" t="s">
        <v>168</v>
      </c>
      <c r="D127" s="745"/>
      <c r="E127" s="746"/>
      <c r="F127" s="747">
        <f>-F126*F124</f>
        <v>-11.652480000000001</v>
      </c>
      <c r="G127" s="747">
        <f t="shared" ref="G127:H127" si="111">-G126*G124</f>
        <v>-7.7826000000000022</v>
      </c>
      <c r="H127" s="747">
        <f t="shared" si="111"/>
        <v>-3.3932136000000011</v>
      </c>
      <c r="I127" s="747"/>
      <c r="J127" s="747"/>
      <c r="K127" s="747"/>
      <c r="L127" s="747"/>
      <c r="M127" s="747"/>
      <c r="N127" s="747"/>
      <c r="O127" s="747"/>
    </row>
    <row r="128" spans="2:15" outlineLevel="1" x14ac:dyDescent="0.2">
      <c r="C128" s="1"/>
      <c r="D128" s="171"/>
      <c r="E128" s="186"/>
      <c r="F128" s="6"/>
      <c r="G128" s="112"/>
      <c r="H128" s="348"/>
      <c r="I128" s="6"/>
      <c r="J128" s="6"/>
      <c r="K128" s="6"/>
      <c r="L128" s="6"/>
      <c r="M128" s="6"/>
      <c r="N128" s="6"/>
      <c r="O128" s="6"/>
    </row>
    <row r="129" spans="2:15" outlineLevel="1" x14ac:dyDescent="0.2">
      <c r="C129" s="1" t="s">
        <v>169</v>
      </c>
      <c r="D129" s="171"/>
      <c r="E129" s="186"/>
      <c r="F129" s="381">
        <f>F124+F127</f>
        <v>2.9131199999999993</v>
      </c>
      <c r="G129" s="381">
        <f t="shared" ref="G129:O129" si="112">G124+G127</f>
        <v>7.7826000000000022</v>
      </c>
      <c r="H129" s="381">
        <f t="shared" si="112"/>
        <v>13.572854400000002</v>
      </c>
      <c r="I129" s="381">
        <f t="shared" si="112"/>
        <v>17.911643523200006</v>
      </c>
      <c r="J129" s="381">
        <f t="shared" si="112"/>
        <v>19.165458569824011</v>
      </c>
      <c r="K129" s="381">
        <f t="shared" si="112"/>
        <v>21.199846097742494</v>
      </c>
      <c r="L129" s="381">
        <f t="shared" si="112"/>
        <v>22.98728410206196</v>
      </c>
      <c r="M129" s="381">
        <f t="shared" si="112"/>
        <v>24.136648307165053</v>
      </c>
      <c r="N129" s="381">
        <f t="shared" si="112"/>
        <v>24.619381273308353</v>
      </c>
      <c r="O129" s="381">
        <f t="shared" si="112"/>
        <v>25.111768898774521</v>
      </c>
    </row>
    <row r="130" spans="2:15" outlineLevel="1" x14ac:dyDescent="0.2">
      <c r="C130" s="1" t="s">
        <v>170</v>
      </c>
      <c r="D130" s="387">
        <f>D69</f>
        <v>0.25</v>
      </c>
      <c r="E130" s="186"/>
      <c r="F130" s="381">
        <f>F129*(1-$D$130)</f>
        <v>2.1848399999999994</v>
      </c>
      <c r="G130" s="381">
        <f t="shared" ref="G130:O130" si="113">G129*(1-$D$130)</f>
        <v>5.8369500000000016</v>
      </c>
      <c r="H130" s="381">
        <f t="shared" si="113"/>
        <v>10.179640800000001</v>
      </c>
      <c r="I130" s="381">
        <f t="shared" si="113"/>
        <v>13.433732642400004</v>
      </c>
      <c r="J130" s="381">
        <f t="shared" si="113"/>
        <v>14.374093927368008</v>
      </c>
      <c r="K130" s="381">
        <f t="shared" si="113"/>
        <v>15.899884573306871</v>
      </c>
      <c r="L130" s="381">
        <f t="shared" si="113"/>
        <v>17.240463076546469</v>
      </c>
      <c r="M130" s="381">
        <f t="shared" si="113"/>
        <v>18.102486230373792</v>
      </c>
      <c r="N130" s="381">
        <f t="shared" si="113"/>
        <v>18.464535954981265</v>
      </c>
      <c r="O130" s="381">
        <f t="shared" si="113"/>
        <v>18.833826674080889</v>
      </c>
    </row>
    <row r="131" spans="2:15" outlineLevel="1" x14ac:dyDescent="0.2">
      <c r="C131" s="1" t="s">
        <v>171</v>
      </c>
      <c r="D131" s="207"/>
      <c r="E131" s="383">
        <f>1/($D$132+1)^E117</f>
        <v>1</v>
      </c>
      <c r="F131" s="383">
        <f t="shared" ref="F131:O131" si="114">1/($D$132+1)^F117</f>
        <v>0.94786729857819907</v>
      </c>
      <c r="G131" s="383">
        <f t="shared" si="114"/>
        <v>0.89845241571393286</v>
      </c>
      <c r="H131" s="383">
        <f t="shared" si="114"/>
        <v>0.85161366418382267</v>
      </c>
      <c r="I131" s="383">
        <f t="shared" si="114"/>
        <v>0.80721674330220161</v>
      </c>
      <c r="J131" s="383">
        <f>1/($D$132+1)^J117</f>
        <v>0.76513435384094941</v>
      </c>
      <c r="K131" s="383">
        <f>1/($D$132+1)^K117</f>
        <v>0.72524583302459655</v>
      </c>
      <c r="L131" s="383">
        <f t="shared" si="114"/>
        <v>0.68743680855412004</v>
      </c>
      <c r="M131" s="383">
        <f t="shared" si="114"/>
        <v>0.6515988706674124</v>
      </c>
      <c r="N131" s="383">
        <f t="shared" si="114"/>
        <v>0.6176292612961255</v>
      </c>
      <c r="O131" s="383">
        <f t="shared" si="114"/>
        <v>0.58543057942760712</v>
      </c>
    </row>
    <row r="132" spans="2:15" outlineLevel="1" x14ac:dyDescent="0.2">
      <c r="C132" s="1" t="s">
        <v>172</v>
      </c>
      <c r="D132" s="388">
        <f>D62</f>
        <v>5.5E-2</v>
      </c>
      <c r="E132" s="382">
        <f>E131*E130</f>
        <v>0</v>
      </c>
      <c r="F132" s="384">
        <f>F131*F130</f>
        <v>2.0709383886255921</v>
      </c>
      <c r="G132" s="384">
        <f t="shared" ref="G132:O132" si="115">G131*G130</f>
        <v>5.2442218279014421</v>
      </c>
      <c r="H132" s="384">
        <f t="shared" si="115"/>
        <v>8.6691212017631418</v>
      </c>
      <c r="I132" s="384">
        <f t="shared" si="115"/>
        <v>10.843933913990611</v>
      </c>
      <c r="J132" s="384">
        <f t="shared" si="115"/>
        <v>10.998113069165836</v>
      </c>
      <c r="K132" s="384">
        <f t="shared" si="115"/>
        <v>11.531325032362874</v>
      </c>
      <c r="L132" s="384">
        <f t="shared" si="115"/>
        <v>11.851728915336251</v>
      </c>
      <c r="M132" s="384">
        <f t="shared" si="115"/>
        <v>11.795559583983946</v>
      </c>
      <c r="N132" s="384">
        <f t="shared" si="115"/>
        <v>11.404237702050828</v>
      </c>
      <c r="O132" s="384">
        <f t="shared" si="115"/>
        <v>11.025898062646297</v>
      </c>
    </row>
    <row r="133" spans="2:15" outlineLevel="1" x14ac:dyDescent="0.2">
      <c r="C133" s="1" t="s">
        <v>172</v>
      </c>
      <c r="D133" s="208"/>
      <c r="E133" s="385">
        <f>SUM(E132:O132)</f>
        <v>95.435077697826813</v>
      </c>
      <c r="F133" s="349"/>
      <c r="G133" s="349"/>
      <c r="H133" s="349"/>
      <c r="I133" s="349"/>
      <c r="J133" s="349"/>
      <c r="K133" s="349"/>
      <c r="L133" s="349"/>
      <c r="M133" s="349"/>
      <c r="N133" s="349"/>
      <c r="O133" s="349"/>
    </row>
    <row r="134" spans="2:15" outlineLevel="1" x14ac:dyDescent="0.2">
      <c r="C134" s="1" t="s">
        <v>173</v>
      </c>
      <c r="D134" s="388">
        <f>D62</f>
        <v>5.5E-2</v>
      </c>
      <c r="E134" s="386"/>
      <c r="F134" s="6"/>
      <c r="G134" s="112"/>
      <c r="H134" s="348"/>
      <c r="I134" s="6"/>
      <c r="J134" s="6"/>
      <c r="K134" s="6"/>
      <c r="L134" s="6"/>
      <c r="M134" s="6"/>
      <c r="N134" s="6"/>
      <c r="O134" s="6"/>
    </row>
    <row r="135" spans="2:15" x14ac:dyDescent="0.2">
      <c r="E135" s="6"/>
      <c r="F135" s="6"/>
      <c r="H135" s="6"/>
      <c r="I135" s="6"/>
      <c r="J135" s="6"/>
      <c r="K135" s="6"/>
      <c r="L135" s="6"/>
      <c r="M135" s="6"/>
      <c r="N135" s="6"/>
      <c r="O135" s="6"/>
    </row>
    <row r="136" spans="2:15" s="77" customFormat="1" x14ac:dyDescent="0.2">
      <c r="B136" s="129">
        <f>B101+1</f>
        <v>4</v>
      </c>
      <c r="C136" s="74" t="s">
        <v>174</v>
      </c>
      <c r="D136" s="79"/>
      <c r="E136" s="75"/>
      <c r="F136" s="75"/>
      <c r="G136" s="76"/>
      <c r="H136" s="75"/>
      <c r="I136" s="75"/>
      <c r="J136" s="75"/>
      <c r="K136" s="75"/>
      <c r="L136" s="75"/>
      <c r="M136" s="75"/>
      <c r="N136" s="75"/>
    </row>
    <row r="137" spans="2:15" s="19" customFormat="1" ht="12.6" customHeight="1" outlineLevel="1" x14ac:dyDescent="0.2">
      <c r="B137" s="188"/>
      <c r="C137" s="21"/>
      <c r="D137" s="189"/>
      <c r="E137" s="18"/>
      <c r="F137" s="18"/>
      <c r="G137" s="22"/>
      <c r="H137" s="18"/>
      <c r="I137" s="18"/>
      <c r="J137" s="18"/>
      <c r="K137" s="18"/>
      <c r="L137" s="18"/>
      <c r="M137" s="18"/>
      <c r="N137" s="18"/>
    </row>
    <row r="138" spans="2:15" s="19" customFormat="1" ht="12.6" customHeight="1" outlineLevel="1" x14ac:dyDescent="0.2">
      <c r="B138" s="209"/>
      <c r="C138" s="130" t="s">
        <v>175</v>
      </c>
      <c r="D138" s="389">
        <f>'1-Cockpit&amp;assumptions'!D11</f>
        <v>900</v>
      </c>
      <c r="F138" s="18"/>
      <c r="I138" s="18"/>
      <c r="J138" s="18"/>
      <c r="K138" s="18"/>
      <c r="L138" s="18"/>
      <c r="M138" s="18"/>
      <c r="N138" s="18"/>
    </row>
    <row r="139" spans="2:15" s="19" customFormat="1" ht="12.6" customHeight="1" outlineLevel="1" x14ac:dyDescent="0.2">
      <c r="B139" s="209"/>
      <c r="C139" s="130"/>
      <c r="D139" s="210"/>
      <c r="E139" s="18"/>
      <c r="F139" s="645"/>
      <c r="I139" s="18"/>
      <c r="J139" s="18"/>
      <c r="K139" s="18"/>
      <c r="L139" s="18"/>
      <c r="M139" s="18"/>
      <c r="N139" s="18"/>
    </row>
    <row r="140" spans="2:15" s="19" customFormat="1" ht="12.6" customHeight="1" outlineLevel="1" x14ac:dyDescent="0.2">
      <c r="B140" s="188"/>
      <c r="C140" s="21"/>
      <c r="D140" s="189"/>
      <c r="E140" s="18"/>
      <c r="F140" s="18"/>
      <c r="G140" s="106"/>
      <c r="H140" s="106"/>
      <c r="I140" s="18"/>
      <c r="L140" s="18"/>
      <c r="M140" s="18"/>
      <c r="N140" s="18"/>
    </row>
    <row r="141" spans="2:15" s="19" customFormat="1" ht="12.6" customHeight="1" outlineLevel="1" x14ac:dyDescent="0.2">
      <c r="B141" s="188"/>
      <c r="C141" s="218" t="s">
        <v>176</v>
      </c>
      <c r="D141" s="219" t="s">
        <v>12</v>
      </c>
      <c r="E141" s="220" t="s">
        <v>13</v>
      </c>
      <c r="F141" s="18"/>
      <c r="G141" s="211"/>
      <c r="H141" s="212"/>
      <c r="I141" s="18"/>
      <c r="L141" s="18"/>
      <c r="M141" s="18"/>
      <c r="N141" s="18"/>
    </row>
    <row r="142" spans="2:15" s="19" customFormat="1" ht="12.6" customHeight="1" outlineLevel="1" x14ac:dyDescent="0.2">
      <c r="B142" s="188"/>
      <c r="C142" s="390" t="s">
        <v>14</v>
      </c>
      <c r="D142" s="391">
        <f>'1-Cockpit&amp;assumptions'!D13</f>
        <v>0.8</v>
      </c>
      <c r="E142" s="392">
        <f>D142*D138</f>
        <v>720</v>
      </c>
      <c r="F142" s="18"/>
      <c r="G142" s="211"/>
      <c r="H142" s="213"/>
      <c r="I142" s="18"/>
      <c r="L142" s="18"/>
      <c r="M142" s="18"/>
      <c r="N142" s="18"/>
    </row>
    <row r="143" spans="2:15" s="19" customFormat="1" ht="12.6" customHeight="1" outlineLevel="1" x14ac:dyDescent="0.2">
      <c r="B143" s="188"/>
      <c r="C143" s="390" t="s">
        <v>15</v>
      </c>
      <c r="D143" s="393">
        <f>100%-D142</f>
        <v>0.19999999999999996</v>
      </c>
      <c r="E143" s="392">
        <f>D138-E142</f>
        <v>180</v>
      </c>
      <c r="F143" s="18"/>
      <c r="G143" s="214" t="s">
        <v>177</v>
      </c>
      <c r="H143" s="215"/>
      <c r="I143" s="625">
        <f>E143/'1-Cockpit&amp;assumptions'!E160*1000</f>
        <v>1894.7368421052631</v>
      </c>
      <c r="L143" s="18"/>
      <c r="M143" s="18"/>
      <c r="N143" s="18"/>
    </row>
    <row r="144" spans="2:15" s="19" customFormat="1" ht="12.6" customHeight="1" outlineLevel="1" x14ac:dyDescent="0.2">
      <c r="B144" s="188"/>
      <c r="C144" s="394" t="s">
        <v>16</v>
      </c>
      <c r="D144" s="395">
        <f>SUM(D142:D143)</f>
        <v>1</v>
      </c>
      <c r="E144" s="396">
        <f>SUM(E142:E143)</f>
        <v>900</v>
      </c>
      <c r="F144" s="18"/>
      <c r="I144" s="18"/>
      <c r="L144" s="18"/>
      <c r="M144" s="18"/>
      <c r="N144" s="18"/>
    </row>
    <row r="145" spans="2:21" s="19" customFormat="1" ht="12.6" customHeight="1" outlineLevel="1" x14ac:dyDescent="0.2">
      <c r="B145" s="188"/>
      <c r="C145" s="21"/>
      <c r="D145" s="189"/>
      <c r="E145" s="18"/>
      <c r="F145" s="18"/>
      <c r="G145" s="22"/>
      <c r="H145" s="18"/>
      <c r="I145" s="18"/>
      <c r="J145" s="18"/>
      <c r="K145" s="18"/>
      <c r="L145" s="18"/>
      <c r="M145" s="18"/>
      <c r="N145" s="18"/>
    </row>
    <row r="146" spans="2:21" s="19" customFormat="1" ht="12.6" customHeight="1" outlineLevel="1" x14ac:dyDescent="0.2">
      <c r="B146" s="130" t="s">
        <v>178</v>
      </c>
      <c r="D146" s="189"/>
      <c r="E146" s="18"/>
      <c r="F146" s="18"/>
      <c r="G146" s="22"/>
      <c r="H146" s="18"/>
      <c r="I146" s="18"/>
      <c r="J146" s="18"/>
      <c r="K146" s="18"/>
      <c r="L146" s="18"/>
      <c r="M146" s="18"/>
      <c r="N146" s="18"/>
    </row>
    <row r="147" spans="2:21" outlineLevel="1" x14ac:dyDescent="0.2">
      <c r="E147" s="8">
        <v>0</v>
      </c>
      <c r="F147" s="8">
        <f>E147+1</f>
        <v>1</v>
      </c>
      <c r="G147" s="8">
        <f t="shared" ref="G147:G148" si="116">F147+1</f>
        <v>2</v>
      </c>
      <c r="H147" s="8">
        <f t="shared" ref="H147:H148" si="117">G147+1</f>
        <v>3</v>
      </c>
      <c r="I147" s="8">
        <f t="shared" ref="I147:I148" si="118">H147+1</f>
        <v>4</v>
      </c>
      <c r="J147" s="8">
        <f t="shared" ref="J147:J148" si="119">I147+1</f>
        <v>5</v>
      </c>
      <c r="K147" s="8">
        <f t="shared" ref="K147:K148" si="120">J147+1</f>
        <v>6</v>
      </c>
      <c r="L147" s="8">
        <f t="shared" ref="L147:L148" si="121">K147+1</f>
        <v>7</v>
      </c>
      <c r="M147" s="8">
        <f t="shared" ref="M147:M148" si="122">L147+1</f>
        <v>8</v>
      </c>
      <c r="N147" s="8">
        <f t="shared" ref="N147:N148" si="123">M147+1</f>
        <v>9</v>
      </c>
      <c r="O147" s="8">
        <f t="shared" ref="O147:O148" si="124">N147+1</f>
        <v>10</v>
      </c>
    </row>
    <row r="148" spans="2:21" s="7" customFormat="1" outlineLevel="1" x14ac:dyDescent="0.2">
      <c r="B148" s="10"/>
      <c r="C148" s="7" t="s">
        <v>118</v>
      </c>
      <c r="D148" s="126"/>
      <c r="E148" s="64">
        <f>'1-Cockpit&amp;assumptions'!E86</f>
        <v>2024</v>
      </c>
      <c r="F148" s="64">
        <f>E148+1</f>
        <v>2025</v>
      </c>
      <c r="G148" s="64">
        <f t="shared" si="116"/>
        <v>2026</v>
      </c>
      <c r="H148" s="64">
        <f t="shared" si="117"/>
        <v>2027</v>
      </c>
      <c r="I148" s="64">
        <f t="shared" si="118"/>
        <v>2028</v>
      </c>
      <c r="J148" s="64">
        <f t="shared" si="119"/>
        <v>2029</v>
      </c>
      <c r="K148" s="64">
        <f t="shared" si="120"/>
        <v>2030</v>
      </c>
      <c r="L148" s="64">
        <f t="shared" si="121"/>
        <v>2031</v>
      </c>
      <c r="M148" s="64">
        <f t="shared" si="122"/>
        <v>2032</v>
      </c>
      <c r="N148" s="64">
        <f t="shared" si="123"/>
        <v>2033</v>
      </c>
      <c r="O148" s="64">
        <f t="shared" si="124"/>
        <v>2034</v>
      </c>
    </row>
    <row r="149" spans="2:21" s="1" customFormat="1" outlineLevel="1" x14ac:dyDescent="0.2">
      <c r="B149" s="11"/>
      <c r="D149" s="78"/>
      <c r="E149" s="57"/>
      <c r="F149" s="57"/>
      <c r="G149" s="57"/>
      <c r="H149" s="57"/>
      <c r="I149" s="57"/>
      <c r="J149" s="57"/>
      <c r="K149" s="57"/>
      <c r="L149" s="57"/>
      <c r="M149" s="57"/>
      <c r="N149" s="57"/>
      <c r="O149" s="57"/>
    </row>
    <row r="150" spans="2:21" outlineLevel="1" x14ac:dyDescent="0.2">
      <c r="B150" s="1" t="s">
        <v>179</v>
      </c>
    </row>
    <row r="151" spans="2:21" outlineLevel="1" x14ac:dyDescent="0.2">
      <c r="C151" s="5" t="s">
        <v>180</v>
      </c>
      <c r="F151" s="397">
        <f>E153</f>
        <v>260</v>
      </c>
      <c r="G151" s="397">
        <f>F153</f>
        <v>234</v>
      </c>
      <c r="H151" s="397">
        <f t="shared" ref="H151:O151" si="125">G153</f>
        <v>208</v>
      </c>
      <c r="I151" s="397">
        <f t="shared" si="125"/>
        <v>182</v>
      </c>
      <c r="J151" s="397">
        <f t="shared" si="125"/>
        <v>156</v>
      </c>
      <c r="K151" s="397">
        <f t="shared" si="125"/>
        <v>130</v>
      </c>
      <c r="L151" s="397">
        <f t="shared" si="125"/>
        <v>104</v>
      </c>
      <c r="M151" s="397">
        <f t="shared" si="125"/>
        <v>78</v>
      </c>
      <c r="N151" s="397">
        <f t="shared" si="125"/>
        <v>52</v>
      </c>
      <c r="O151" s="397">
        <f t="shared" si="125"/>
        <v>26</v>
      </c>
      <c r="R151" s="144"/>
      <c r="S151" s="145"/>
      <c r="T151" s="146"/>
      <c r="U151" s="147"/>
    </row>
    <row r="152" spans="2:21" outlineLevel="1" x14ac:dyDescent="0.2">
      <c r="C152" s="5" t="s">
        <v>181</v>
      </c>
      <c r="D152" s="103"/>
      <c r="E152" s="120"/>
      <c r="F152" s="397">
        <f>E153/O147</f>
        <v>26</v>
      </c>
      <c r="G152" s="397">
        <f>F152</f>
        <v>26</v>
      </c>
      <c r="H152" s="397">
        <f t="shared" ref="H152:K152" si="126">G152</f>
        <v>26</v>
      </c>
      <c r="I152" s="397">
        <f t="shared" si="126"/>
        <v>26</v>
      </c>
      <c r="J152" s="397">
        <f t="shared" si="126"/>
        <v>26</v>
      </c>
      <c r="K152" s="397">
        <f t="shared" si="126"/>
        <v>26</v>
      </c>
      <c r="L152" s="397">
        <f t="shared" ref="L152:O152" si="127">K152</f>
        <v>26</v>
      </c>
      <c r="M152" s="397">
        <f t="shared" si="127"/>
        <v>26</v>
      </c>
      <c r="N152" s="397">
        <f t="shared" si="127"/>
        <v>26</v>
      </c>
      <c r="O152" s="397">
        <f t="shared" si="127"/>
        <v>26</v>
      </c>
      <c r="R152" s="144"/>
      <c r="S152" s="145"/>
      <c r="T152" s="146"/>
      <c r="U152" s="147"/>
    </row>
    <row r="153" spans="2:21" outlineLevel="1" x14ac:dyDescent="0.2">
      <c r="C153" s="5" t="s">
        <v>182</v>
      </c>
      <c r="E153" s="397">
        <f>E93+E48</f>
        <v>260</v>
      </c>
      <c r="F153" s="397">
        <f>F151-F152</f>
        <v>234</v>
      </c>
      <c r="G153" s="397">
        <f>G151-G152</f>
        <v>208</v>
      </c>
      <c r="H153" s="397">
        <f t="shared" ref="H153:K153" si="128">H151-H152</f>
        <v>182</v>
      </c>
      <c r="I153" s="397">
        <f t="shared" si="128"/>
        <v>156</v>
      </c>
      <c r="J153" s="397">
        <f t="shared" si="128"/>
        <v>130</v>
      </c>
      <c r="K153" s="397">
        <f t="shared" si="128"/>
        <v>104</v>
      </c>
      <c r="L153" s="397">
        <f t="shared" ref="L153" si="129">L151-L152</f>
        <v>78</v>
      </c>
      <c r="M153" s="397">
        <f t="shared" ref="M153" si="130">M151-M152</f>
        <v>52</v>
      </c>
      <c r="N153" s="397">
        <f t="shared" ref="N153" si="131">N151-N152</f>
        <v>26</v>
      </c>
      <c r="O153" s="397">
        <f t="shared" ref="O153" si="132">O151-O152</f>
        <v>0</v>
      </c>
      <c r="R153" s="148"/>
      <c r="S153" s="145"/>
      <c r="T153" s="144"/>
      <c r="U153" s="147"/>
    </row>
    <row r="154" spans="2:21" outlineLevel="1" x14ac:dyDescent="0.2">
      <c r="H154" s="120"/>
      <c r="I154" s="120"/>
      <c r="J154" s="120"/>
      <c r="K154" s="120"/>
      <c r="L154" s="120"/>
      <c r="M154" s="120"/>
      <c r="N154" s="120"/>
      <c r="R154" s="149"/>
      <c r="S154" s="150"/>
      <c r="T154" s="144"/>
      <c r="U154" s="133"/>
    </row>
    <row r="155" spans="2:21" outlineLevel="1" x14ac:dyDescent="0.2">
      <c r="C155" s="5" t="s">
        <v>183</v>
      </c>
      <c r="D155" s="398">
        <f>'1-Cockpit&amp;assumptions'!E124</f>
        <v>4.4999999999999998E-2</v>
      </c>
      <c r="E155" s="120"/>
      <c r="F155" s="397">
        <f>$D$155*F151</f>
        <v>11.7</v>
      </c>
      <c r="G155" s="397">
        <f t="shared" ref="G155:O155" si="133">$D$155*G151</f>
        <v>10.53</v>
      </c>
      <c r="H155" s="397">
        <f t="shared" si="133"/>
        <v>9.36</v>
      </c>
      <c r="I155" s="397">
        <f t="shared" si="133"/>
        <v>8.19</v>
      </c>
      <c r="J155" s="397">
        <f t="shared" si="133"/>
        <v>7.02</v>
      </c>
      <c r="K155" s="397">
        <f t="shared" si="133"/>
        <v>5.85</v>
      </c>
      <c r="L155" s="397">
        <f t="shared" si="133"/>
        <v>4.68</v>
      </c>
      <c r="M155" s="397">
        <f t="shared" si="133"/>
        <v>3.51</v>
      </c>
      <c r="N155" s="397">
        <f t="shared" si="133"/>
        <v>2.34</v>
      </c>
      <c r="O155" s="397">
        <f t="shared" si="133"/>
        <v>1.17</v>
      </c>
    </row>
    <row r="156" spans="2:21" outlineLevel="1" x14ac:dyDescent="0.2"/>
    <row r="157" spans="2:21" outlineLevel="1" x14ac:dyDescent="0.2">
      <c r="B157" s="1" t="s">
        <v>184</v>
      </c>
    </row>
    <row r="158" spans="2:21" outlineLevel="1" x14ac:dyDescent="0.2">
      <c r="C158" s="5" t="s">
        <v>180</v>
      </c>
      <c r="F158" s="397">
        <f>E160</f>
        <v>720</v>
      </c>
      <c r="G158" s="397">
        <f>F160</f>
        <v>648</v>
      </c>
      <c r="H158" s="397">
        <f t="shared" ref="H158:O158" si="134">G160</f>
        <v>576</v>
      </c>
      <c r="I158" s="397">
        <f t="shared" si="134"/>
        <v>504</v>
      </c>
      <c r="J158" s="397">
        <f t="shared" si="134"/>
        <v>432</v>
      </c>
      <c r="K158" s="397">
        <f t="shared" si="134"/>
        <v>360</v>
      </c>
      <c r="L158" s="397">
        <f t="shared" si="134"/>
        <v>288</v>
      </c>
      <c r="M158" s="397">
        <f t="shared" si="134"/>
        <v>216</v>
      </c>
      <c r="N158" s="397">
        <f t="shared" si="134"/>
        <v>144</v>
      </c>
      <c r="O158" s="397">
        <f t="shared" si="134"/>
        <v>72</v>
      </c>
    </row>
    <row r="159" spans="2:21" outlineLevel="1" x14ac:dyDescent="0.2">
      <c r="C159" s="5" t="s">
        <v>185</v>
      </c>
      <c r="D159" s="103"/>
      <c r="E159" s="120"/>
      <c r="F159" s="397">
        <f>F158/O147</f>
        <v>72</v>
      </c>
      <c r="G159" s="397">
        <f>F159</f>
        <v>72</v>
      </c>
      <c r="H159" s="397">
        <f t="shared" ref="H159:O159" si="135">G159</f>
        <v>72</v>
      </c>
      <c r="I159" s="397">
        <f t="shared" si="135"/>
        <v>72</v>
      </c>
      <c r="J159" s="397">
        <f t="shared" si="135"/>
        <v>72</v>
      </c>
      <c r="K159" s="397">
        <f t="shared" si="135"/>
        <v>72</v>
      </c>
      <c r="L159" s="397">
        <f t="shared" si="135"/>
        <v>72</v>
      </c>
      <c r="M159" s="397">
        <f t="shared" si="135"/>
        <v>72</v>
      </c>
      <c r="N159" s="397">
        <f t="shared" si="135"/>
        <v>72</v>
      </c>
      <c r="O159" s="397">
        <f t="shared" si="135"/>
        <v>72</v>
      </c>
    </row>
    <row r="160" spans="2:21" outlineLevel="1" x14ac:dyDescent="0.2">
      <c r="C160" s="5" t="s">
        <v>182</v>
      </c>
      <c r="E160" s="397">
        <f>E142</f>
        <v>720</v>
      </c>
      <c r="F160" s="397">
        <f>F158-F159</f>
        <v>648</v>
      </c>
      <c r="G160" s="397">
        <f>G158-G159</f>
        <v>576</v>
      </c>
      <c r="H160" s="397">
        <f t="shared" ref="H160" si="136">H158-H159</f>
        <v>504</v>
      </c>
      <c r="I160" s="397">
        <f t="shared" ref="I160" si="137">I158-I159</f>
        <v>432</v>
      </c>
      <c r="J160" s="397">
        <f t="shared" ref="J160" si="138">J158-J159</f>
        <v>360</v>
      </c>
      <c r="K160" s="397">
        <f t="shared" ref="K160" si="139">K158-K159</f>
        <v>288</v>
      </c>
      <c r="L160" s="397">
        <f t="shared" ref="L160" si="140">L158-L159</f>
        <v>216</v>
      </c>
      <c r="M160" s="397">
        <f t="shared" ref="M160" si="141">M158-M159</f>
        <v>144</v>
      </c>
      <c r="N160" s="397">
        <f t="shared" ref="N160" si="142">N158-N159</f>
        <v>72</v>
      </c>
      <c r="O160" s="397">
        <f t="shared" ref="O160" si="143">O158-O159</f>
        <v>0</v>
      </c>
    </row>
    <row r="161" spans="2:19" outlineLevel="1" x14ac:dyDescent="0.2">
      <c r="E161" s="120"/>
      <c r="F161" s="120"/>
      <c r="G161" s="120"/>
      <c r="H161" s="120"/>
      <c r="I161" s="120"/>
      <c r="J161" s="120"/>
      <c r="K161" s="120"/>
      <c r="L161" s="120"/>
      <c r="M161" s="120"/>
      <c r="N161" s="120"/>
      <c r="O161" s="120"/>
    </row>
    <row r="162" spans="2:19" outlineLevel="1" x14ac:dyDescent="0.2">
      <c r="C162" s="5" t="s">
        <v>183</v>
      </c>
      <c r="D162" s="398">
        <v>7.0000000000000007E-2</v>
      </c>
      <c r="E162" s="122"/>
      <c r="F162" s="397">
        <f>$D$162*F158</f>
        <v>50.400000000000006</v>
      </c>
      <c r="G162" s="397">
        <f t="shared" ref="G162:O162" si="144">$D$162*G158</f>
        <v>45.360000000000007</v>
      </c>
      <c r="H162" s="397">
        <f t="shared" si="144"/>
        <v>40.320000000000007</v>
      </c>
      <c r="I162" s="397">
        <f t="shared" si="144"/>
        <v>35.28</v>
      </c>
      <c r="J162" s="397">
        <f t="shared" si="144"/>
        <v>30.240000000000002</v>
      </c>
      <c r="K162" s="397">
        <f t="shared" si="144"/>
        <v>25.200000000000003</v>
      </c>
      <c r="L162" s="397">
        <f t="shared" si="144"/>
        <v>20.160000000000004</v>
      </c>
      <c r="M162" s="397">
        <f t="shared" si="144"/>
        <v>15.120000000000001</v>
      </c>
      <c r="N162" s="397">
        <f t="shared" si="144"/>
        <v>10.080000000000002</v>
      </c>
      <c r="O162" s="397">
        <f t="shared" si="144"/>
        <v>5.0400000000000009</v>
      </c>
    </row>
    <row r="163" spans="2:19" outlineLevel="1" x14ac:dyDescent="0.2"/>
    <row r="164" spans="2:19" outlineLevel="1" x14ac:dyDescent="0.2">
      <c r="B164" s="1" t="s">
        <v>186</v>
      </c>
    </row>
    <row r="165" spans="2:19" outlineLevel="1" x14ac:dyDescent="0.2">
      <c r="C165" s="5" t="s">
        <v>180</v>
      </c>
      <c r="F165" s="397">
        <f>E167</f>
        <v>980</v>
      </c>
      <c r="G165" s="397">
        <f>F167</f>
        <v>882</v>
      </c>
      <c r="H165" s="397">
        <f t="shared" ref="H165:O165" si="145">G167</f>
        <v>784</v>
      </c>
      <c r="I165" s="397">
        <f t="shared" si="145"/>
        <v>686</v>
      </c>
      <c r="J165" s="397">
        <f t="shared" si="145"/>
        <v>588</v>
      </c>
      <c r="K165" s="397">
        <f t="shared" si="145"/>
        <v>490</v>
      </c>
      <c r="L165" s="397">
        <f t="shared" si="145"/>
        <v>392</v>
      </c>
      <c r="M165" s="397">
        <f t="shared" si="145"/>
        <v>294</v>
      </c>
      <c r="N165" s="397">
        <f t="shared" si="145"/>
        <v>196</v>
      </c>
      <c r="O165" s="397">
        <f t="shared" si="145"/>
        <v>98</v>
      </c>
    </row>
    <row r="166" spans="2:19" outlineLevel="1" x14ac:dyDescent="0.2">
      <c r="C166" s="5" t="s">
        <v>185</v>
      </c>
      <c r="E166" s="120"/>
      <c r="F166" s="397">
        <f t="shared" ref="F166:O167" si="146">F152+F159</f>
        <v>98</v>
      </c>
      <c r="G166" s="397">
        <f t="shared" si="146"/>
        <v>98</v>
      </c>
      <c r="H166" s="397">
        <f t="shared" si="146"/>
        <v>98</v>
      </c>
      <c r="I166" s="397">
        <f t="shared" si="146"/>
        <v>98</v>
      </c>
      <c r="J166" s="397">
        <f t="shared" si="146"/>
        <v>98</v>
      </c>
      <c r="K166" s="397">
        <f t="shared" si="146"/>
        <v>98</v>
      </c>
      <c r="L166" s="397">
        <f t="shared" si="146"/>
        <v>98</v>
      </c>
      <c r="M166" s="397">
        <f t="shared" si="146"/>
        <v>98</v>
      </c>
      <c r="N166" s="397">
        <f t="shared" si="146"/>
        <v>98</v>
      </c>
      <c r="O166" s="397">
        <f t="shared" si="146"/>
        <v>98</v>
      </c>
    </row>
    <row r="167" spans="2:19" outlineLevel="1" x14ac:dyDescent="0.2">
      <c r="C167" s="5" t="s">
        <v>182</v>
      </c>
      <c r="E167" s="397">
        <f>E153+E160</f>
        <v>980</v>
      </c>
      <c r="F167" s="397">
        <f>F165-F166</f>
        <v>882</v>
      </c>
      <c r="G167" s="397">
        <f t="shared" ref="G167:O167" si="147">G165-G166</f>
        <v>784</v>
      </c>
      <c r="H167" s="397">
        <f t="shared" si="147"/>
        <v>686</v>
      </c>
      <c r="I167" s="397">
        <f t="shared" si="147"/>
        <v>588</v>
      </c>
      <c r="J167" s="397">
        <f t="shared" si="147"/>
        <v>490</v>
      </c>
      <c r="K167" s="397">
        <f t="shared" si="147"/>
        <v>392</v>
      </c>
      <c r="L167" s="397">
        <f t="shared" si="147"/>
        <v>294</v>
      </c>
      <c r="M167" s="397">
        <f t="shared" si="147"/>
        <v>196</v>
      </c>
      <c r="N167" s="397">
        <f t="shared" si="147"/>
        <v>98</v>
      </c>
      <c r="O167" s="397">
        <f t="shared" si="147"/>
        <v>0</v>
      </c>
    </row>
    <row r="168" spans="2:19" ht="8.25" customHeight="1" outlineLevel="1" x14ac:dyDescent="0.2"/>
    <row r="169" spans="2:19" outlineLevel="1" x14ac:dyDescent="0.2">
      <c r="C169" s="5" t="s">
        <v>183</v>
      </c>
      <c r="D169" s="121"/>
      <c r="E169" s="122"/>
      <c r="F169" s="399">
        <f>F155+F162</f>
        <v>62.100000000000009</v>
      </c>
      <c r="G169" s="399">
        <f t="shared" ref="G169:O169" si="148">G155+G162</f>
        <v>55.890000000000008</v>
      </c>
      <c r="H169" s="399">
        <f t="shared" si="148"/>
        <v>49.680000000000007</v>
      </c>
      <c r="I169" s="399">
        <f t="shared" si="148"/>
        <v>43.47</v>
      </c>
      <c r="J169" s="399">
        <f t="shared" si="148"/>
        <v>37.260000000000005</v>
      </c>
      <c r="K169" s="399">
        <f t="shared" si="148"/>
        <v>31.050000000000004</v>
      </c>
      <c r="L169" s="399">
        <f t="shared" si="148"/>
        <v>24.840000000000003</v>
      </c>
      <c r="M169" s="399">
        <f t="shared" si="148"/>
        <v>18.630000000000003</v>
      </c>
      <c r="N169" s="399">
        <f t="shared" si="148"/>
        <v>12.420000000000002</v>
      </c>
      <c r="O169" s="399">
        <f t="shared" si="148"/>
        <v>6.2100000000000009</v>
      </c>
    </row>
    <row r="170" spans="2:19" ht="6.75" customHeight="1" outlineLevel="1" x14ac:dyDescent="0.2"/>
    <row r="171" spans="2:19" s="1" customFormat="1" outlineLevel="1" x14ac:dyDescent="0.2">
      <c r="B171" s="11"/>
      <c r="C171" s="56" t="s">
        <v>187</v>
      </c>
      <c r="D171" s="68"/>
      <c r="E171" s="12"/>
      <c r="F171" s="400">
        <f>F169+F166</f>
        <v>160.10000000000002</v>
      </c>
      <c r="G171" s="400">
        <f t="shared" ref="G171:O171" si="149">G169+G166</f>
        <v>153.89000000000001</v>
      </c>
      <c r="H171" s="400">
        <f t="shared" si="149"/>
        <v>147.68</v>
      </c>
      <c r="I171" s="400">
        <f t="shared" si="149"/>
        <v>141.47</v>
      </c>
      <c r="J171" s="400">
        <f t="shared" si="149"/>
        <v>135.26</v>
      </c>
      <c r="K171" s="400">
        <f t="shared" si="149"/>
        <v>129.05000000000001</v>
      </c>
      <c r="L171" s="400">
        <f t="shared" si="149"/>
        <v>122.84</v>
      </c>
      <c r="M171" s="400">
        <f t="shared" si="149"/>
        <v>116.63</v>
      </c>
      <c r="N171" s="400">
        <f t="shared" si="149"/>
        <v>110.42</v>
      </c>
      <c r="O171" s="400">
        <f t="shared" si="149"/>
        <v>104.21000000000001</v>
      </c>
    </row>
    <row r="172" spans="2:19" s="1" customFormat="1" outlineLevel="1" x14ac:dyDescent="0.2">
      <c r="B172" s="11"/>
      <c r="C172" s="56"/>
      <c r="D172" s="68"/>
      <c r="E172" s="12"/>
      <c r="F172" s="598"/>
      <c r="G172" s="598"/>
      <c r="H172" s="598"/>
      <c r="I172" s="598"/>
      <c r="J172" s="598"/>
      <c r="K172" s="598"/>
      <c r="L172" s="598"/>
      <c r="M172" s="598"/>
      <c r="N172" s="598"/>
      <c r="O172" s="598"/>
      <c r="P172" s="130"/>
    </row>
    <row r="173" spans="2:19" s="1" customFormat="1" outlineLevel="1" x14ac:dyDescent="0.2">
      <c r="B173" s="11"/>
      <c r="C173" s="56" t="s">
        <v>188</v>
      </c>
      <c r="D173" s="68"/>
      <c r="E173" s="12"/>
      <c r="F173" s="400">
        <f>F171/SUM(F129,E74,E20)</f>
        <v>0.91596614232134332</v>
      </c>
      <c r="G173" s="400">
        <f t="shared" ref="G173:O173" si="150">G171/SUM(G129,F74,F20)</f>
        <v>0.77393456383011361</v>
      </c>
      <c r="H173" s="400">
        <f t="shared" si="150"/>
        <v>0.66451987060856776</v>
      </c>
      <c r="I173" s="400">
        <f t="shared" si="150"/>
        <v>0.61113082522591189</v>
      </c>
      <c r="J173" s="400">
        <f t="shared" si="150"/>
        <v>0.54503029118102164</v>
      </c>
      <c r="K173" s="400">
        <f t="shared" si="150"/>
        <v>0.4907894319480709</v>
      </c>
      <c r="L173" s="400">
        <f t="shared" si="150"/>
        <v>0.48446554132517927</v>
      </c>
      <c r="M173" s="400">
        <f t="shared" si="150"/>
        <v>0.45805961658959582</v>
      </c>
      <c r="N173" s="400">
        <f t="shared" si="150"/>
        <v>0.41528459693491188</v>
      </c>
      <c r="O173" s="400">
        <f t="shared" si="150"/>
        <v>0.38143872117496758</v>
      </c>
    </row>
    <row r="174" spans="2:19" s="1" customFormat="1" outlineLevel="1" x14ac:dyDescent="0.2">
      <c r="B174" s="11"/>
      <c r="C174" s="56"/>
      <c r="D174" s="68"/>
      <c r="E174" s="12"/>
      <c r="F174" s="12"/>
      <c r="G174" s="12"/>
      <c r="H174" s="12"/>
      <c r="I174" s="12"/>
      <c r="J174" s="12"/>
      <c r="K174" s="12"/>
      <c r="L174" s="12"/>
      <c r="M174" s="12"/>
      <c r="N174" s="12"/>
      <c r="O174" s="12"/>
      <c r="Q174" s="190"/>
      <c r="R174" s="190"/>
      <c r="S174" s="156"/>
    </row>
    <row r="175" spans="2:19" s="1" customFormat="1" x14ac:dyDescent="0.2">
      <c r="B175" s="11"/>
      <c r="C175" s="56"/>
      <c r="D175" s="68"/>
      <c r="E175" s="12"/>
      <c r="F175" s="12"/>
      <c r="G175" s="12"/>
      <c r="H175" s="12"/>
      <c r="I175" s="12"/>
      <c r="J175" s="12"/>
      <c r="K175" s="12"/>
      <c r="L175" s="12"/>
      <c r="M175" s="12"/>
      <c r="N175" s="12"/>
      <c r="O175" s="12"/>
      <c r="Q175" s="190"/>
      <c r="R175" s="190"/>
      <c r="S175" s="156"/>
    </row>
    <row r="176" spans="2:19" s="77" customFormat="1" x14ac:dyDescent="0.2">
      <c r="B176" s="129">
        <f>B136+1</f>
        <v>5</v>
      </c>
      <c r="C176" s="74" t="s">
        <v>189</v>
      </c>
      <c r="D176" s="79"/>
      <c r="E176" s="75"/>
      <c r="F176" s="75"/>
      <c r="G176" s="76"/>
      <c r="H176" s="75"/>
      <c r="I176" s="75"/>
      <c r="J176" s="75"/>
      <c r="K176" s="75"/>
      <c r="L176" s="75"/>
      <c r="M176" s="75"/>
      <c r="N176" s="75"/>
    </row>
    <row r="177" spans="2:15" hidden="1" outlineLevel="1" x14ac:dyDescent="0.2">
      <c r="E177" s="8">
        <v>0</v>
      </c>
      <c r="F177" s="8">
        <f>E177+1</f>
        <v>1</v>
      </c>
      <c r="G177" s="8">
        <f t="shared" ref="G177:G178" si="151">F177+1</f>
        <v>2</v>
      </c>
      <c r="H177" s="8">
        <f t="shared" ref="H177:H178" si="152">G177+1</f>
        <v>3</v>
      </c>
      <c r="I177" s="8">
        <f t="shared" ref="I177:I178" si="153">H177+1</f>
        <v>4</v>
      </c>
      <c r="J177" s="8">
        <f t="shared" ref="J177:J178" si="154">I177+1</f>
        <v>5</v>
      </c>
      <c r="K177" s="8">
        <f t="shared" ref="K177:K178" si="155">J177+1</f>
        <v>6</v>
      </c>
      <c r="L177" s="8">
        <f t="shared" ref="L177:L178" si="156">K177+1</f>
        <v>7</v>
      </c>
      <c r="M177" s="8">
        <f t="shared" ref="M177:M178" si="157">L177+1</f>
        <v>8</v>
      </c>
      <c r="N177" s="8">
        <f t="shared" ref="N177:N178" si="158">M177+1</f>
        <v>9</v>
      </c>
      <c r="O177" s="8">
        <f t="shared" ref="O177:O178" si="159">N177+1</f>
        <v>10</v>
      </c>
    </row>
    <row r="178" spans="2:15" s="7" customFormat="1" hidden="1" outlineLevel="1" x14ac:dyDescent="0.2">
      <c r="B178" s="10"/>
      <c r="C178" s="7" t="s">
        <v>118</v>
      </c>
      <c r="D178" s="67"/>
      <c r="E178" s="64">
        <f>'1-Cockpit&amp;assumptions'!E86</f>
        <v>2024</v>
      </c>
      <c r="F178" s="64">
        <f>E178+1</f>
        <v>2025</v>
      </c>
      <c r="G178" s="64">
        <f t="shared" si="151"/>
        <v>2026</v>
      </c>
      <c r="H178" s="64">
        <f t="shared" si="152"/>
        <v>2027</v>
      </c>
      <c r="I178" s="64">
        <f t="shared" si="153"/>
        <v>2028</v>
      </c>
      <c r="J178" s="64">
        <f t="shared" si="154"/>
        <v>2029</v>
      </c>
      <c r="K178" s="64">
        <f t="shared" si="155"/>
        <v>2030</v>
      </c>
      <c r="L178" s="64">
        <f t="shared" si="156"/>
        <v>2031</v>
      </c>
      <c r="M178" s="64">
        <f t="shared" si="157"/>
        <v>2032</v>
      </c>
      <c r="N178" s="64">
        <f t="shared" si="158"/>
        <v>2033</v>
      </c>
      <c r="O178" s="64">
        <f t="shared" si="159"/>
        <v>2034</v>
      </c>
    </row>
    <row r="179" spans="2:15" hidden="1" outlineLevel="1" x14ac:dyDescent="0.2"/>
    <row r="180" spans="2:15" s="1" customFormat="1" hidden="1" outlineLevel="1" x14ac:dyDescent="0.2">
      <c r="B180" s="11"/>
      <c r="D180" s="68"/>
      <c r="G180" s="8"/>
    </row>
    <row r="181" spans="2:15" hidden="1" outlineLevel="1" x14ac:dyDescent="0.2">
      <c r="C181" s="5" t="s">
        <v>121</v>
      </c>
      <c r="E181" s="581"/>
      <c r="F181" s="397"/>
      <c r="G181" s="397"/>
      <c r="H181" s="397"/>
      <c r="I181" s="397"/>
      <c r="J181" s="397"/>
      <c r="K181" s="397"/>
      <c r="L181" s="397"/>
      <c r="M181" s="397"/>
      <c r="N181" s="397"/>
      <c r="O181" s="397"/>
    </row>
    <row r="182" spans="2:15" hidden="1" outlineLevel="1" x14ac:dyDescent="0.2">
      <c r="C182" s="1" t="s">
        <v>122</v>
      </c>
      <c r="D182" s="68"/>
      <c r="E182" s="598"/>
      <c r="F182" s="400"/>
      <c r="G182" s="400"/>
      <c r="H182" s="400"/>
      <c r="I182" s="400"/>
      <c r="J182" s="400"/>
      <c r="K182" s="400"/>
      <c r="L182" s="400"/>
      <c r="M182" s="400"/>
      <c r="N182" s="400"/>
      <c r="O182" s="400"/>
    </row>
    <row r="183" spans="2:15" hidden="1" outlineLevel="1" x14ac:dyDescent="0.2">
      <c r="C183" s="5" t="s">
        <v>190</v>
      </c>
      <c r="E183" s="599"/>
      <c r="F183" s="401"/>
      <c r="G183" s="401"/>
      <c r="H183" s="401"/>
      <c r="I183" s="401"/>
      <c r="J183" s="401"/>
      <c r="K183" s="401"/>
      <c r="L183" s="401"/>
      <c r="M183" s="401"/>
      <c r="N183" s="401"/>
      <c r="O183" s="401"/>
    </row>
    <row r="184" spans="2:15" hidden="1" outlineLevel="1" x14ac:dyDescent="0.2">
      <c r="C184" s="5" t="s">
        <v>123</v>
      </c>
      <c r="E184" s="581"/>
      <c r="F184" s="397"/>
      <c r="G184" s="397"/>
      <c r="H184" s="397"/>
      <c r="I184" s="397"/>
      <c r="J184" s="397"/>
      <c r="K184" s="397"/>
      <c r="L184" s="397"/>
      <c r="M184" s="397"/>
      <c r="N184" s="397"/>
      <c r="O184" s="397"/>
    </row>
    <row r="185" spans="2:15" hidden="1" outlineLevel="1" x14ac:dyDescent="0.2">
      <c r="C185" s="1" t="s">
        <v>124</v>
      </c>
      <c r="D185" s="68"/>
      <c r="E185" s="598"/>
      <c r="F185" s="400"/>
      <c r="G185" s="400"/>
      <c r="H185" s="400"/>
      <c r="I185" s="400"/>
      <c r="J185" s="400"/>
      <c r="K185" s="400"/>
      <c r="L185" s="400"/>
      <c r="M185" s="400"/>
      <c r="N185" s="400"/>
      <c r="O185" s="400"/>
    </row>
    <row r="186" spans="2:15" hidden="1" outlineLevel="1" x14ac:dyDescent="0.2">
      <c r="C186" s="1" t="s">
        <v>125</v>
      </c>
      <c r="D186" s="585">
        <f>D69</f>
        <v>0.25</v>
      </c>
      <c r="E186" s="598"/>
      <c r="F186" s="400"/>
      <c r="G186" s="400"/>
      <c r="H186" s="400"/>
      <c r="I186" s="400"/>
      <c r="J186" s="400"/>
      <c r="K186" s="400"/>
      <c r="L186" s="400"/>
      <c r="M186" s="400"/>
      <c r="N186" s="400"/>
      <c r="O186" s="400"/>
    </row>
    <row r="187" spans="2:15" s="2" customFormat="1" ht="12" hidden="1" outlineLevel="1" x14ac:dyDescent="0.2">
      <c r="B187" s="119"/>
      <c r="C187" s="2" t="s">
        <v>191</v>
      </c>
      <c r="D187" s="81"/>
      <c r="E187" s="600"/>
      <c r="F187" s="402"/>
      <c r="G187" s="402"/>
      <c r="H187" s="402"/>
      <c r="I187" s="402"/>
      <c r="J187" s="402"/>
      <c r="K187" s="402"/>
      <c r="L187" s="402"/>
      <c r="M187" s="402"/>
      <c r="N187" s="402"/>
      <c r="O187" s="402"/>
    </row>
    <row r="188" spans="2:15" s="1" customFormat="1" hidden="1" outlineLevel="1" x14ac:dyDescent="0.2">
      <c r="B188" s="11"/>
      <c r="C188" s="1" t="s">
        <v>129</v>
      </c>
      <c r="D188" s="68"/>
      <c r="E188" s="598"/>
      <c r="F188" s="400"/>
      <c r="G188" s="400"/>
      <c r="H188" s="400"/>
      <c r="I188" s="400"/>
      <c r="J188" s="400"/>
      <c r="K188" s="400"/>
      <c r="L188" s="400"/>
      <c r="M188" s="400"/>
      <c r="N188" s="400"/>
      <c r="O188" s="400"/>
    </row>
    <row r="189" spans="2:15" s="1" customFormat="1" hidden="1" outlineLevel="1" x14ac:dyDescent="0.2">
      <c r="B189" s="11"/>
      <c r="C189" s="1" t="s">
        <v>192</v>
      </c>
      <c r="D189" s="68"/>
      <c r="E189" s="598"/>
      <c r="F189" s="400"/>
      <c r="G189" s="400"/>
      <c r="H189" s="400"/>
      <c r="I189" s="400"/>
      <c r="J189" s="400"/>
      <c r="K189" s="400"/>
      <c r="L189" s="400"/>
      <c r="M189" s="400"/>
      <c r="N189" s="400"/>
      <c r="O189" s="400"/>
    </row>
    <row r="190" spans="2:15" s="1" customFormat="1" hidden="1" outlineLevel="1" x14ac:dyDescent="0.2">
      <c r="B190" s="11"/>
      <c r="D190" s="68"/>
      <c r="E190" s="598"/>
      <c r="F190" s="12"/>
      <c r="G190" s="12"/>
      <c r="H190" s="12"/>
      <c r="I190" s="12"/>
      <c r="J190" s="12"/>
      <c r="K190" s="12"/>
      <c r="L190" s="12"/>
      <c r="M190" s="12"/>
      <c r="N190" s="12"/>
      <c r="O190" s="12"/>
    </row>
    <row r="191" spans="2:15" s="1" customFormat="1" hidden="1" outlineLevel="1" x14ac:dyDescent="0.2">
      <c r="B191" s="4"/>
      <c r="C191" s="56" t="s">
        <v>132</v>
      </c>
      <c r="D191" s="68"/>
      <c r="E191" s="598"/>
      <c r="F191" s="400"/>
      <c r="G191" s="400"/>
      <c r="H191" s="400"/>
      <c r="I191" s="400"/>
      <c r="J191" s="400"/>
      <c r="K191" s="400"/>
      <c r="L191" s="400"/>
      <c r="M191" s="400"/>
      <c r="N191" s="400"/>
      <c r="O191" s="400"/>
    </row>
    <row r="192" spans="2:15" s="1" customFormat="1" hidden="1" outlineLevel="1" x14ac:dyDescent="0.2">
      <c r="B192" s="4"/>
      <c r="C192" s="56" t="s">
        <v>155</v>
      </c>
      <c r="D192" s="68"/>
      <c r="E192" s="598"/>
      <c r="F192" s="400"/>
      <c r="G192" s="400"/>
      <c r="H192" s="400"/>
      <c r="I192" s="400"/>
      <c r="J192" s="400"/>
      <c r="K192" s="400"/>
      <c r="L192" s="400"/>
      <c r="M192" s="400"/>
      <c r="N192" s="400"/>
      <c r="O192" s="400"/>
    </row>
    <row r="193" spans="2:17" s="1" customFormat="1" hidden="1" outlineLevel="1" x14ac:dyDescent="0.2">
      <c r="B193" s="4"/>
      <c r="C193" s="56" t="s">
        <v>193</v>
      </c>
      <c r="D193" s="68"/>
      <c r="E193" s="598"/>
      <c r="F193" s="400"/>
      <c r="G193" s="400"/>
      <c r="H193" s="400"/>
      <c r="I193" s="400"/>
      <c r="J193" s="400"/>
      <c r="K193" s="400"/>
      <c r="L193" s="400"/>
      <c r="M193" s="400"/>
      <c r="N193" s="400"/>
      <c r="O193" s="400"/>
    </row>
    <row r="194" spans="2:17" hidden="1" outlineLevel="1" x14ac:dyDescent="0.2"/>
    <row r="195" spans="2:17" s="1" customFormat="1" hidden="1" outlineLevel="1" x14ac:dyDescent="0.2">
      <c r="B195" s="4"/>
      <c r="C195" s="56" t="s">
        <v>135</v>
      </c>
      <c r="D195" s="68"/>
      <c r="E195" s="400"/>
      <c r="F195" s="12"/>
      <c r="G195" s="12"/>
      <c r="H195" s="12"/>
      <c r="I195" s="12"/>
      <c r="J195" s="12"/>
      <c r="K195" s="12"/>
      <c r="L195" s="12"/>
      <c r="M195" s="12"/>
      <c r="N195" s="12"/>
      <c r="O195" s="12"/>
    </row>
    <row r="196" spans="2:17" s="1" customFormat="1" hidden="1" outlineLevel="1" x14ac:dyDescent="0.2">
      <c r="B196" s="4"/>
      <c r="C196" s="56"/>
      <c r="D196" s="68"/>
      <c r="E196" s="12"/>
      <c r="F196" s="12"/>
      <c r="G196" s="12"/>
      <c r="H196" s="12"/>
      <c r="I196" s="12"/>
      <c r="J196" s="12"/>
      <c r="K196" s="12"/>
      <c r="L196" s="12"/>
      <c r="M196" s="12"/>
      <c r="N196" s="12"/>
      <c r="O196" s="12"/>
    </row>
    <row r="197" spans="2:17" s="1" customFormat="1" hidden="1" outlineLevel="1" x14ac:dyDescent="0.2">
      <c r="B197" s="4"/>
      <c r="C197" s="173" t="s">
        <v>136</v>
      </c>
      <c r="D197" s="68"/>
      <c r="E197" s="12"/>
      <c r="F197" s="12"/>
      <c r="G197" s="12"/>
      <c r="H197" s="12"/>
      <c r="I197" s="12"/>
      <c r="J197" s="12"/>
      <c r="K197" s="12"/>
      <c r="L197" s="12"/>
      <c r="M197" s="12"/>
      <c r="N197" s="12"/>
      <c r="O197" s="12"/>
    </row>
    <row r="198" spans="2:17" hidden="1" outlineLevel="1" x14ac:dyDescent="0.2">
      <c r="B198" s="47"/>
      <c r="C198" s="176" t="s">
        <v>137</v>
      </c>
      <c r="E198" s="411">
        <f t="shared" ref="E198:O198" si="160">1/(1+$D$62)^E177</f>
        <v>1</v>
      </c>
      <c r="F198" s="411">
        <f t="shared" si="160"/>
        <v>0.94786729857819907</v>
      </c>
      <c r="G198" s="411">
        <f t="shared" si="160"/>
        <v>0.89845241571393286</v>
      </c>
      <c r="H198" s="411">
        <f t="shared" si="160"/>
        <v>0.85161366418382267</v>
      </c>
      <c r="I198" s="411">
        <f t="shared" si="160"/>
        <v>0.80721674330220161</v>
      </c>
      <c r="J198" s="411">
        <f t="shared" si="160"/>
        <v>0.76513435384094941</v>
      </c>
      <c r="K198" s="411">
        <f t="shared" si="160"/>
        <v>0.72524583302459655</v>
      </c>
      <c r="L198" s="411">
        <f t="shared" si="160"/>
        <v>0.68743680855412004</v>
      </c>
      <c r="M198" s="411">
        <f t="shared" si="160"/>
        <v>0.6515988706674124</v>
      </c>
      <c r="N198" s="411">
        <f t="shared" si="160"/>
        <v>0.6176292612961255</v>
      </c>
      <c r="O198" s="411">
        <f t="shared" si="160"/>
        <v>0.58543057942760712</v>
      </c>
    </row>
    <row r="199" spans="2:17" s="1" customFormat="1" hidden="1" outlineLevel="1" x14ac:dyDescent="0.2">
      <c r="B199" s="4"/>
      <c r="C199" s="178" t="s">
        <v>138</v>
      </c>
      <c r="D199" s="170"/>
      <c r="E199" s="412"/>
      <c r="F199" s="400">
        <f t="shared" ref="F199:O199" si="161">SUM(F191:F191)*F198</f>
        <v>0</v>
      </c>
      <c r="G199" s="400">
        <f t="shared" si="161"/>
        <v>0</v>
      </c>
      <c r="H199" s="400">
        <f t="shared" si="161"/>
        <v>0</v>
      </c>
      <c r="I199" s="400">
        <f t="shared" si="161"/>
        <v>0</v>
      </c>
      <c r="J199" s="400">
        <f t="shared" si="161"/>
        <v>0</v>
      </c>
      <c r="K199" s="400">
        <f t="shared" si="161"/>
        <v>0</v>
      </c>
      <c r="L199" s="400">
        <f t="shared" si="161"/>
        <v>0</v>
      </c>
      <c r="M199" s="400">
        <f t="shared" si="161"/>
        <v>0</v>
      </c>
      <c r="N199" s="400">
        <f t="shared" si="161"/>
        <v>0</v>
      </c>
      <c r="O199" s="400">
        <f t="shared" si="161"/>
        <v>0</v>
      </c>
    </row>
    <row r="200" spans="2:17" s="1" customFormat="1" hidden="1" outlineLevel="1" x14ac:dyDescent="0.2">
      <c r="B200" s="4"/>
      <c r="C200" s="180" t="s">
        <v>194</v>
      </c>
      <c r="D200" s="68"/>
      <c r="E200" s="404">
        <f>SUM(F199:O199)</f>
        <v>0</v>
      </c>
      <c r="H200" s="92"/>
      <c r="I200" s="92"/>
      <c r="J200" s="92"/>
      <c r="K200" s="92"/>
      <c r="Q200" s="113"/>
    </row>
    <row r="201" spans="2:17" s="1" customFormat="1" ht="15" hidden="1" outlineLevel="1" x14ac:dyDescent="0.35">
      <c r="B201" s="4"/>
      <c r="C201" s="178" t="s">
        <v>195</v>
      </c>
      <c r="D201" s="170"/>
      <c r="E201" s="413">
        <f>O201*O198</f>
        <v>0</v>
      </c>
      <c r="G201" s="115"/>
      <c r="H201" s="92"/>
      <c r="I201" s="92"/>
      <c r="J201" s="92"/>
      <c r="K201" s="92"/>
      <c r="M201" s="91"/>
      <c r="N201" s="113"/>
      <c r="O201" s="400">
        <f>O191*(1+$D$61)/(D62-D61)</f>
        <v>0</v>
      </c>
    </row>
    <row r="202" spans="2:17" s="1" customFormat="1" ht="15" hidden="1" outlineLevel="1" x14ac:dyDescent="0.35">
      <c r="B202" s="4"/>
      <c r="C202" s="178" t="s">
        <v>140</v>
      </c>
      <c r="D202" s="170"/>
      <c r="E202" s="404">
        <f>SUM(E200:E201)</f>
        <v>0</v>
      </c>
      <c r="G202" s="115"/>
      <c r="H202" s="92"/>
      <c r="I202" s="92"/>
      <c r="J202" s="92"/>
      <c r="K202" s="92"/>
      <c r="M202" s="91"/>
      <c r="N202" s="116"/>
      <c r="Q202" s="65"/>
    </row>
    <row r="203" spans="2:17" s="1" customFormat="1" ht="15" hidden="1" outlineLevel="1" x14ac:dyDescent="0.35">
      <c r="B203" s="4"/>
      <c r="C203" s="178"/>
      <c r="D203" s="118"/>
      <c r="E203" s="12"/>
      <c r="G203" s="115"/>
      <c r="H203" s="92"/>
      <c r="I203" s="92"/>
      <c r="J203" s="92"/>
      <c r="K203" s="92"/>
      <c r="M203" s="91"/>
      <c r="N203" s="116"/>
      <c r="Q203" s="65"/>
    </row>
    <row r="204" spans="2:17" s="1" customFormat="1" hidden="1" outlineLevel="1" x14ac:dyDescent="0.2">
      <c r="B204" s="4"/>
      <c r="C204" s="114" t="s">
        <v>196</v>
      </c>
      <c r="D204" s="497"/>
      <c r="E204" s="498" t="e">
        <f>E200/$E$202</f>
        <v>#DIV/0!</v>
      </c>
      <c r="G204" s="113"/>
      <c r="M204" s="117"/>
      <c r="N204" s="113"/>
    </row>
    <row r="205" spans="2:17" s="1" customFormat="1" hidden="1" outlineLevel="1" x14ac:dyDescent="0.2">
      <c r="B205" s="4"/>
      <c r="C205" s="114" t="s">
        <v>197</v>
      </c>
      <c r="D205" s="497"/>
      <c r="E205" s="498" t="e">
        <f>E201/$E$202</f>
        <v>#DIV/0!</v>
      </c>
    </row>
    <row r="206" spans="2:17" s="1" customFormat="1" ht="15" hidden="1" outlineLevel="1" x14ac:dyDescent="0.35">
      <c r="B206" s="11"/>
      <c r="C206" s="72" t="s">
        <v>198</v>
      </c>
      <c r="D206" s="170"/>
      <c r="E206" s="403"/>
      <c r="F206" s="91"/>
      <c r="G206" s="8"/>
      <c r="Q206" s="65"/>
    </row>
    <row r="207" spans="2:17" s="1" customFormat="1" hidden="1" outlineLevel="1" x14ac:dyDescent="0.2">
      <c r="B207" s="11"/>
      <c r="C207" s="73" t="s">
        <v>199</v>
      </c>
      <c r="D207" s="170"/>
      <c r="E207" s="404"/>
    </row>
    <row r="208" spans="2:17" hidden="1" outlineLevel="1" x14ac:dyDescent="0.2">
      <c r="C208" s="5" t="s">
        <v>200</v>
      </c>
      <c r="E208" s="406"/>
    </row>
    <row r="209" spans="1:19" hidden="1" outlineLevel="1" x14ac:dyDescent="0.2">
      <c r="C209" s="1" t="s">
        <v>159</v>
      </c>
      <c r="E209" s="405"/>
    </row>
    <row r="210" spans="1:19" collapsed="1" x14ac:dyDescent="0.2">
      <c r="C210" s="1"/>
      <c r="D210" s="161"/>
    </row>
    <row r="211" spans="1:19" s="77" customFormat="1" x14ac:dyDescent="0.2">
      <c r="B211" s="129">
        <f>B176+1</f>
        <v>6</v>
      </c>
      <c r="C211" s="74" t="s">
        <v>336</v>
      </c>
      <c r="D211" s="79"/>
      <c r="E211" s="75"/>
      <c r="F211" s="75"/>
      <c r="G211" s="76"/>
      <c r="H211" s="75"/>
      <c r="I211" s="75"/>
      <c r="J211" s="75"/>
      <c r="K211" s="75"/>
      <c r="L211" s="75"/>
      <c r="M211" s="75"/>
      <c r="N211" s="75"/>
    </row>
    <row r="212" spans="1:19" hidden="1" outlineLevel="1" x14ac:dyDescent="0.2"/>
    <row r="213" spans="1:19" hidden="1" outlineLevel="1" x14ac:dyDescent="0.2">
      <c r="C213" s="2" t="s">
        <v>201</v>
      </c>
      <c r="F213" s="120"/>
      <c r="G213" s="120"/>
      <c r="H213" s="120"/>
      <c r="I213" s="120"/>
      <c r="J213" s="120"/>
      <c r="K213" s="120"/>
      <c r="L213" s="120"/>
      <c r="M213" s="120"/>
      <c r="N213" s="120"/>
      <c r="O213" s="120"/>
      <c r="Q213" s="130"/>
      <c r="R213" s="19"/>
    </row>
    <row r="214" spans="1:19" hidden="1" outlineLevel="1" x14ac:dyDescent="0.2">
      <c r="C214" s="2" t="s">
        <v>202</v>
      </c>
      <c r="F214" s="120"/>
      <c r="G214" s="120"/>
      <c r="H214" s="120"/>
      <c r="I214" s="120"/>
      <c r="J214" s="120"/>
      <c r="K214" s="120"/>
      <c r="L214" s="120"/>
      <c r="M214" s="120"/>
      <c r="N214" s="120"/>
      <c r="O214" s="120"/>
      <c r="Q214" s="130"/>
      <c r="R214" s="19"/>
    </row>
    <row r="215" spans="1:19" s="1" customFormat="1" hidden="1" outlineLevel="1" x14ac:dyDescent="0.2">
      <c r="B215" s="11"/>
      <c r="C215" s="56" t="s">
        <v>203</v>
      </c>
      <c r="D215" s="78"/>
      <c r="E215" s="12"/>
      <c r="F215" s="400"/>
      <c r="G215" s="400"/>
      <c r="H215" s="400"/>
      <c r="I215" s="400"/>
      <c r="J215" s="400"/>
      <c r="K215" s="400"/>
      <c r="L215" s="400"/>
      <c r="M215" s="400"/>
      <c r="N215" s="400"/>
      <c r="O215" s="400"/>
      <c r="Q215" s="377"/>
      <c r="R215" s="365"/>
    </row>
    <row r="216" spans="1:19" s="19" customFormat="1" ht="17.25" hidden="1" customHeight="1" outlineLevel="1" thickBot="1" x14ac:dyDescent="0.2">
      <c r="A216" s="130"/>
      <c r="C216" s="491" t="s">
        <v>204</v>
      </c>
      <c r="D216" s="579"/>
      <c r="E216" s="580"/>
      <c r="G216" s="130"/>
      <c r="N216" s="130"/>
      <c r="O216" s="581"/>
      <c r="Q216" s="582"/>
      <c r="R216" s="583"/>
      <c r="S216" s="130"/>
    </row>
    <row r="217" spans="1:19" ht="18.75" hidden="1" customHeight="1" outlineLevel="1" thickBot="1" x14ac:dyDescent="0.25">
      <c r="B217" s="124"/>
      <c r="C217" s="491" t="s">
        <v>205</v>
      </c>
      <c r="D217" s="409"/>
      <c r="E217" s="407"/>
      <c r="F217" s="407"/>
      <c r="G217" s="407"/>
      <c r="H217" s="407"/>
      <c r="I217" s="407"/>
      <c r="J217" s="407"/>
      <c r="K217" s="407"/>
      <c r="L217" s="407"/>
      <c r="M217" s="407"/>
      <c r="N217" s="407"/>
      <c r="O217" s="408"/>
      <c r="Q217" s="378"/>
      <c r="R217" s="19"/>
    </row>
    <row r="218" spans="1:19" collapsed="1" x14ac:dyDescent="0.2">
      <c r="Q218" s="378"/>
      <c r="R218" s="19"/>
    </row>
    <row r="219" spans="1:19" s="77" customFormat="1" x14ac:dyDescent="0.2">
      <c r="B219" s="129">
        <f>B211+1</f>
        <v>7</v>
      </c>
      <c r="C219" s="74" t="s">
        <v>206</v>
      </c>
      <c r="D219" s="79"/>
      <c r="E219" s="75"/>
      <c r="F219" s="75"/>
      <c r="G219" s="76"/>
      <c r="H219" s="75"/>
      <c r="I219" s="75"/>
      <c r="J219" s="75"/>
      <c r="K219" s="75"/>
      <c r="L219" s="75"/>
      <c r="M219" s="75"/>
      <c r="N219" s="75"/>
    </row>
    <row r="220" spans="1:19" s="1" customFormat="1" hidden="1" outlineLevel="1" x14ac:dyDescent="0.2">
      <c r="A220" s="5"/>
      <c r="B220" s="3"/>
      <c r="C220" s="5"/>
      <c r="D220" s="78"/>
      <c r="E220" s="5"/>
      <c r="F220" s="5"/>
      <c r="G220" s="6"/>
      <c r="H220" s="5"/>
      <c r="I220" s="5"/>
      <c r="J220" s="5"/>
      <c r="K220" s="5"/>
      <c r="L220" s="5"/>
      <c r="M220" s="5"/>
      <c r="N220" s="5"/>
      <c r="O220" s="5"/>
      <c r="Q220" s="378"/>
      <c r="R220" s="130"/>
      <c r="S220" s="5"/>
    </row>
    <row r="221" spans="1:19" s="1" customFormat="1" hidden="1" outlineLevel="1" x14ac:dyDescent="0.2">
      <c r="A221" s="123" t="s">
        <v>207</v>
      </c>
      <c r="B221" s="5"/>
      <c r="C221" s="2"/>
      <c r="D221" s="81"/>
      <c r="E221" s="2"/>
      <c r="F221" s="5"/>
      <c r="G221" s="6"/>
      <c r="H221" s="5"/>
      <c r="I221" s="5"/>
      <c r="J221" s="5"/>
      <c r="K221" s="5"/>
      <c r="L221" s="5"/>
      <c r="M221" s="5"/>
      <c r="N221" s="5"/>
      <c r="O221" s="5"/>
      <c r="Q221" s="378"/>
      <c r="R221" s="130"/>
    </row>
    <row r="222" spans="1:19" hidden="1" outlineLevel="1" x14ac:dyDescent="0.2">
      <c r="B222" s="56" t="s">
        <v>208</v>
      </c>
      <c r="D222" s="81"/>
      <c r="E222" s="125"/>
      <c r="F222" s="410" t="str">
        <f t="shared" ref="F222:O222" si="162">IF(F182&lt;&gt;0,F165/F182,"")</f>
        <v/>
      </c>
      <c r="G222" s="410" t="str">
        <f t="shared" si="162"/>
        <v/>
      </c>
      <c r="H222" s="410" t="str">
        <f t="shared" si="162"/>
        <v/>
      </c>
      <c r="I222" s="410" t="str">
        <f t="shared" si="162"/>
        <v/>
      </c>
      <c r="J222" s="410" t="str">
        <f t="shared" si="162"/>
        <v/>
      </c>
      <c r="K222" s="410" t="str">
        <f t="shared" si="162"/>
        <v/>
      </c>
      <c r="L222" s="410" t="str">
        <f t="shared" si="162"/>
        <v/>
      </c>
      <c r="M222" s="410" t="str">
        <f t="shared" si="162"/>
        <v/>
      </c>
      <c r="N222" s="410" t="str">
        <f t="shared" si="162"/>
        <v/>
      </c>
      <c r="O222" s="410" t="str">
        <f t="shared" si="162"/>
        <v/>
      </c>
      <c r="Q222" s="378"/>
      <c r="R222" s="19"/>
      <c r="S222" s="1"/>
    </row>
    <row r="223" spans="1:19" hidden="1" outlineLevel="1" x14ac:dyDescent="0.2">
      <c r="A223" s="1"/>
      <c r="B223" s="56" t="s">
        <v>209</v>
      </c>
      <c r="C223" s="1"/>
      <c r="E223" s="125" t="str">
        <f t="shared" ref="E223:O223" si="163">IF(E171&lt;&gt;0,E191/E171,"")</f>
        <v/>
      </c>
      <c r="F223" s="410">
        <f t="shared" si="163"/>
        <v>0</v>
      </c>
      <c r="G223" s="410">
        <f t="shared" si="163"/>
        <v>0</v>
      </c>
      <c r="H223" s="410">
        <f t="shared" si="163"/>
        <v>0</v>
      </c>
      <c r="I223" s="410">
        <f t="shared" si="163"/>
        <v>0</v>
      </c>
      <c r="J223" s="410">
        <f t="shared" si="163"/>
        <v>0</v>
      </c>
      <c r="K223" s="410">
        <f t="shared" si="163"/>
        <v>0</v>
      </c>
      <c r="L223" s="410">
        <f t="shared" si="163"/>
        <v>0</v>
      </c>
      <c r="M223" s="410">
        <f t="shared" si="163"/>
        <v>0</v>
      </c>
      <c r="N223" s="410">
        <f t="shared" si="163"/>
        <v>0</v>
      </c>
      <c r="O223" s="410">
        <f t="shared" si="163"/>
        <v>0</v>
      </c>
      <c r="Q223" s="378"/>
      <c r="R223" s="19"/>
    </row>
    <row r="224" spans="1:19" hidden="1" outlineLevel="1" x14ac:dyDescent="0.2">
      <c r="B224" s="56"/>
      <c r="C224" s="1" t="s">
        <v>210</v>
      </c>
      <c r="D224" s="418">
        <f>AVERAGE(F223:O223)</f>
        <v>0</v>
      </c>
      <c r="E224" s="125"/>
      <c r="F224" s="125"/>
      <c r="G224" s="125"/>
      <c r="H224" s="125"/>
      <c r="I224" s="125"/>
      <c r="J224" s="125"/>
      <c r="K224" s="125"/>
      <c r="L224" s="125"/>
      <c r="M224" s="125"/>
      <c r="N224" s="125"/>
      <c r="O224" s="125"/>
      <c r="Q224" s="378"/>
      <c r="R224" s="376"/>
      <c r="S224" s="153"/>
    </row>
    <row r="225" spans="1:19" hidden="1" outlineLevel="1" x14ac:dyDescent="0.2">
      <c r="B225" s="56"/>
      <c r="C225" s="1"/>
      <c r="D225" s="418"/>
      <c r="E225" s="125"/>
      <c r="F225" s="125"/>
      <c r="G225" s="125"/>
      <c r="H225" s="125"/>
      <c r="I225" s="125"/>
      <c r="J225" s="125"/>
      <c r="K225" s="125"/>
      <c r="L225" s="125"/>
      <c r="M225" s="125"/>
      <c r="N225" s="125"/>
      <c r="O225" s="125"/>
      <c r="Q225" s="151"/>
      <c r="R225" s="152"/>
      <c r="S225" s="153"/>
    </row>
    <row r="226" spans="1:19" hidden="1" outlineLevel="1" x14ac:dyDescent="0.2">
      <c r="B226" s="56"/>
      <c r="C226" s="1"/>
      <c r="D226" s="81"/>
      <c r="E226" s="125"/>
      <c r="F226" s="125"/>
      <c r="G226" s="125"/>
      <c r="H226" s="125"/>
      <c r="I226" s="125"/>
      <c r="J226" s="125"/>
      <c r="K226" s="125"/>
      <c r="L226" s="125"/>
      <c r="M226" s="125"/>
      <c r="N226" s="125"/>
      <c r="O226" s="125"/>
      <c r="Q226" s="151"/>
      <c r="R226" s="152"/>
      <c r="S226" s="153"/>
    </row>
    <row r="227" spans="1:19" hidden="1" outlineLevel="1" x14ac:dyDescent="0.2">
      <c r="B227" s="56"/>
      <c r="C227" s="1"/>
      <c r="D227" s="81"/>
      <c r="E227" s="125"/>
      <c r="F227" s="125"/>
      <c r="G227" s="125"/>
      <c r="H227" s="125"/>
      <c r="I227" s="125"/>
      <c r="J227" s="125"/>
      <c r="K227" s="125"/>
      <c r="L227" s="125"/>
      <c r="M227" s="125"/>
      <c r="N227" s="125"/>
      <c r="O227" s="125"/>
      <c r="Q227" s="151"/>
      <c r="R227" s="152"/>
      <c r="S227" s="153"/>
    </row>
    <row r="228" spans="1:19" hidden="1" outlineLevel="1" x14ac:dyDescent="0.2">
      <c r="B228" s="56"/>
      <c r="C228" s="1"/>
      <c r="D228" s="81"/>
      <c r="E228" s="125"/>
      <c r="F228" s="125"/>
      <c r="G228" s="125"/>
      <c r="H228" s="125"/>
      <c r="I228" s="125"/>
      <c r="J228" s="125"/>
      <c r="K228" s="125"/>
      <c r="L228" s="125"/>
      <c r="M228" s="125"/>
      <c r="N228" s="125"/>
      <c r="O228" s="125"/>
      <c r="Q228" s="151"/>
      <c r="R228" s="152"/>
      <c r="S228" s="153"/>
    </row>
    <row r="229" spans="1:19" hidden="1" outlineLevel="1" x14ac:dyDescent="0.2">
      <c r="B229" s="56"/>
      <c r="C229" s="1"/>
      <c r="D229" s="81"/>
      <c r="E229" s="125"/>
      <c r="F229" s="125"/>
      <c r="G229" s="125"/>
      <c r="H229" s="125"/>
      <c r="I229" s="125"/>
      <c r="J229" s="125"/>
      <c r="K229" s="125"/>
      <c r="L229" s="125"/>
      <c r="M229" s="125"/>
      <c r="N229" s="125"/>
      <c r="O229" s="125"/>
      <c r="Q229" s="151"/>
      <c r="R229" s="152"/>
      <c r="S229" s="153"/>
    </row>
    <row r="230" spans="1:19" hidden="1" outlineLevel="1" x14ac:dyDescent="0.2">
      <c r="A230" s="1" t="s">
        <v>211</v>
      </c>
      <c r="B230" s="56"/>
      <c r="C230" s="1"/>
      <c r="D230" s="81"/>
      <c r="E230" s="125"/>
      <c r="F230" s="125"/>
      <c r="G230" s="125"/>
      <c r="H230" s="125"/>
      <c r="I230" s="125"/>
      <c r="J230" s="125"/>
      <c r="K230" s="125"/>
      <c r="L230" s="125"/>
      <c r="M230" s="125"/>
      <c r="N230" s="125"/>
      <c r="O230" s="125"/>
      <c r="Q230" s="151"/>
      <c r="R230" s="152"/>
      <c r="S230" s="153"/>
    </row>
    <row r="231" spans="1:19" ht="13.5" hidden="1" outlineLevel="1" thickBot="1" x14ac:dyDescent="0.25">
      <c r="A231" s="1"/>
      <c r="B231" s="56"/>
      <c r="C231" s="1" t="s">
        <v>85</v>
      </c>
      <c r="D231" s="584">
        <f>'1-Cockpit&amp;assumptions'!E178</f>
        <v>4</v>
      </c>
      <c r="E231" s="125"/>
      <c r="F231" s="125"/>
      <c r="G231" s="125"/>
      <c r="H231" s="125"/>
      <c r="I231" s="125"/>
      <c r="J231" s="125"/>
      <c r="K231" s="125"/>
      <c r="L231" s="125"/>
      <c r="M231" s="125"/>
      <c r="N231" s="125"/>
      <c r="O231" s="125"/>
      <c r="Q231" s="151"/>
      <c r="R231" s="152"/>
      <c r="S231" s="153"/>
    </row>
    <row r="232" spans="1:19" hidden="1" outlineLevel="1" x14ac:dyDescent="0.2">
      <c r="A232" s="1"/>
      <c r="B232" s="56"/>
      <c r="C232" s="1" t="s">
        <v>212</v>
      </c>
      <c r="D232" s="154"/>
      <c r="E232" s="193"/>
      <c r="F232" s="193">
        <f t="shared" ref="F232:O232" si="164">F191/$D$231</f>
        <v>0</v>
      </c>
      <c r="G232" s="193">
        <f t="shared" si="164"/>
        <v>0</v>
      </c>
      <c r="H232" s="193">
        <f t="shared" si="164"/>
        <v>0</v>
      </c>
      <c r="I232" s="193">
        <f t="shared" si="164"/>
        <v>0</v>
      </c>
      <c r="J232" s="193">
        <f t="shared" si="164"/>
        <v>0</v>
      </c>
      <c r="K232" s="193">
        <f t="shared" si="164"/>
        <v>0</v>
      </c>
      <c r="L232" s="193">
        <f t="shared" si="164"/>
        <v>0</v>
      </c>
      <c r="M232" s="193">
        <f t="shared" si="164"/>
        <v>0</v>
      </c>
      <c r="N232" s="193">
        <f t="shared" si="164"/>
        <v>0</v>
      </c>
      <c r="O232" s="193">
        <f t="shared" si="164"/>
        <v>0</v>
      </c>
      <c r="Q232" s="151"/>
      <c r="R232" s="152"/>
      <c r="S232" s="153"/>
    </row>
    <row r="233" spans="1:19" ht="15" hidden="1" outlineLevel="1" x14ac:dyDescent="0.25">
      <c r="A233" s="1"/>
      <c r="B233" s="56"/>
      <c r="C233" s="1" t="s">
        <v>213</v>
      </c>
      <c r="D233" s="155"/>
      <c r="E233" s="271">
        <f>NPV(D162,F232:O232)</f>
        <v>0</v>
      </c>
      <c r="F233" s="193"/>
      <c r="G233" s="193"/>
      <c r="H233" s="193"/>
      <c r="I233" s="193"/>
      <c r="J233" s="193"/>
      <c r="K233" s="193"/>
      <c r="L233" s="193"/>
      <c r="M233" s="193"/>
      <c r="N233" s="193"/>
      <c r="O233" s="193"/>
      <c r="P233" s="95"/>
      <c r="Q233" s="151"/>
      <c r="R233" s="152"/>
      <c r="S233" s="153"/>
    </row>
    <row r="234" spans="1:19" ht="15" hidden="1" outlineLevel="1" x14ac:dyDescent="0.25">
      <c r="A234" s="1"/>
      <c r="B234" s="56"/>
      <c r="C234" s="1" t="s">
        <v>214</v>
      </c>
      <c r="D234" s="272">
        <f>IF(E233&lt;'1-Cockpit&amp;assumptions'!D11,E233/('1-Cockpit&amp;assumptions'!D11),"Debt capacity exceeds purchase price")</f>
        <v>0</v>
      </c>
      <c r="E234" s="273"/>
      <c r="F234" s="193"/>
      <c r="G234" s="193"/>
      <c r="H234" s="193"/>
      <c r="I234" s="193"/>
      <c r="J234" s="193"/>
      <c r="K234" s="193"/>
      <c r="L234" s="193"/>
      <c r="M234" s="193"/>
      <c r="N234" s="193"/>
      <c r="O234" s="193"/>
      <c r="P234" s="95"/>
      <c r="Q234" s="151"/>
      <c r="R234" s="152"/>
      <c r="S234" s="153"/>
    </row>
    <row r="235" spans="1:19" ht="15" hidden="1" outlineLevel="1" x14ac:dyDescent="0.25">
      <c r="A235" s="1"/>
      <c r="B235" s="56"/>
      <c r="C235" s="1" t="s">
        <v>215</v>
      </c>
      <c r="D235" s="272">
        <f>'1-Cockpit&amp;assumptions'!D13</f>
        <v>0.8</v>
      </c>
      <c r="E235" s="273"/>
      <c r="F235" s="193"/>
      <c r="G235" s="193"/>
      <c r="H235" s="193"/>
      <c r="I235" s="193"/>
      <c r="J235" s="193"/>
      <c r="K235" s="193"/>
      <c r="L235" s="193"/>
      <c r="M235" s="193"/>
      <c r="N235" s="193"/>
      <c r="O235" s="193"/>
      <c r="P235" s="95"/>
      <c r="Q235" s="151"/>
      <c r="R235" s="152"/>
      <c r="S235" s="153"/>
    </row>
    <row r="236" spans="1:19" ht="15" hidden="1" outlineLevel="1" x14ac:dyDescent="0.25">
      <c r="A236" s="1"/>
      <c r="B236" s="56"/>
      <c r="C236" s="1"/>
      <c r="D236" s="272"/>
      <c r="E236" s="273"/>
      <c r="F236" s="193"/>
      <c r="G236" s="193"/>
      <c r="H236" s="193"/>
      <c r="I236" s="193"/>
      <c r="J236" s="193"/>
      <c r="K236" s="193"/>
      <c r="L236" s="193"/>
      <c r="M236" s="193"/>
      <c r="N236" s="193"/>
      <c r="O236" s="193"/>
      <c r="P236" s="95"/>
      <c r="Q236" s="151"/>
      <c r="R236" s="152"/>
      <c r="S236" s="153"/>
    </row>
    <row r="237" spans="1:19" ht="15" hidden="1" outlineLevel="1" x14ac:dyDescent="0.25">
      <c r="A237" s="1" t="s">
        <v>216</v>
      </c>
      <c r="B237" s="56"/>
      <c r="D237" s="155"/>
      <c r="E237" s="193"/>
      <c r="F237" s="193"/>
      <c r="G237" s="193"/>
      <c r="H237" s="193"/>
      <c r="I237" s="193"/>
      <c r="J237" s="193"/>
      <c r="K237" s="193"/>
      <c r="L237" s="193"/>
      <c r="M237" s="193"/>
      <c r="N237" s="193"/>
      <c r="O237" s="193"/>
      <c r="Q237" s="190"/>
      <c r="R237" s="190"/>
      <c r="S237" s="153"/>
    </row>
    <row r="238" spans="1:19" ht="15" hidden="1" outlineLevel="1" x14ac:dyDescent="0.25">
      <c r="A238" s="1"/>
      <c r="B238" s="56"/>
      <c r="C238" s="5" t="s">
        <v>217</v>
      </c>
      <c r="D238" s="155"/>
      <c r="E238" s="270"/>
      <c r="F238" s="193">
        <f>E233</f>
        <v>0</v>
      </c>
      <c r="G238" s="193">
        <f t="shared" ref="G238:O238" si="165">F241</f>
        <v>0</v>
      </c>
      <c r="H238" s="193">
        <f t="shared" si="165"/>
        <v>0</v>
      </c>
      <c r="I238" s="193">
        <f t="shared" si="165"/>
        <v>0</v>
      </c>
      <c r="J238" s="193">
        <f t="shared" si="165"/>
        <v>0</v>
      </c>
      <c r="K238" s="193">
        <f t="shared" si="165"/>
        <v>0</v>
      </c>
      <c r="L238" s="193">
        <f t="shared" si="165"/>
        <v>0</v>
      </c>
      <c r="M238" s="193">
        <f t="shared" si="165"/>
        <v>0</v>
      </c>
      <c r="N238" s="193">
        <f t="shared" si="165"/>
        <v>0</v>
      </c>
      <c r="O238" s="193">
        <f t="shared" si="165"/>
        <v>0</v>
      </c>
      <c r="Q238" s="586"/>
      <c r="R238" s="587"/>
      <c r="S238" s="153"/>
    </row>
    <row r="239" spans="1:19" hidden="1" outlineLevel="1" x14ac:dyDescent="0.2">
      <c r="A239" s="1"/>
      <c r="B239" s="56"/>
      <c r="C239" s="5" t="s">
        <v>218</v>
      </c>
      <c r="D239" s="162">
        <f>'1-Cockpit&amp;assumptions'!E162</f>
        <v>7.0000000000000007E-2</v>
      </c>
      <c r="E239" s="270"/>
      <c r="F239" s="193">
        <f t="shared" ref="F239:O239" si="166">F238*$D$239</f>
        <v>0</v>
      </c>
      <c r="G239" s="193">
        <f t="shared" si="166"/>
        <v>0</v>
      </c>
      <c r="H239" s="193">
        <f t="shared" si="166"/>
        <v>0</v>
      </c>
      <c r="I239" s="193">
        <f t="shared" si="166"/>
        <v>0</v>
      </c>
      <c r="J239" s="193">
        <f t="shared" si="166"/>
        <v>0</v>
      </c>
      <c r="K239" s="193">
        <f t="shared" si="166"/>
        <v>0</v>
      </c>
      <c r="L239" s="193">
        <f t="shared" si="166"/>
        <v>0</v>
      </c>
      <c r="M239" s="193">
        <f t="shared" si="166"/>
        <v>0</v>
      </c>
      <c r="N239" s="193">
        <f t="shared" si="166"/>
        <v>0</v>
      </c>
      <c r="O239" s="193">
        <f t="shared" si="166"/>
        <v>0</v>
      </c>
      <c r="Q239" s="588"/>
      <c r="R239" s="588"/>
      <c r="S239" s="153"/>
    </row>
    <row r="240" spans="1:19" ht="15" hidden="1" outlineLevel="1" x14ac:dyDescent="0.25">
      <c r="A240" s="1"/>
      <c r="B240" s="56"/>
      <c r="C240" s="5" t="s">
        <v>219</v>
      </c>
      <c r="D240" s="155"/>
      <c r="E240" s="270"/>
      <c r="F240" s="193">
        <f t="shared" ref="F240:O240" si="167">F232-F239</f>
        <v>0</v>
      </c>
      <c r="G240" s="193">
        <f t="shared" si="167"/>
        <v>0</v>
      </c>
      <c r="H240" s="193">
        <f t="shared" si="167"/>
        <v>0</v>
      </c>
      <c r="I240" s="193">
        <f t="shared" si="167"/>
        <v>0</v>
      </c>
      <c r="J240" s="193">
        <f t="shared" si="167"/>
        <v>0</v>
      </c>
      <c r="K240" s="193">
        <f t="shared" si="167"/>
        <v>0</v>
      </c>
      <c r="L240" s="193">
        <f t="shared" si="167"/>
        <v>0</v>
      </c>
      <c r="M240" s="193">
        <f t="shared" si="167"/>
        <v>0</v>
      </c>
      <c r="N240" s="193">
        <f t="shared" si="167"/>
        <v>0</v>
      </c>
      <c r="O240" s="193">
        <f t="shared" si="167"/>
        <v>0</v>
      </c>
      <c r="Q240" s="151"/>
      <c r="R240" s="415"/>
      <c r="S240" s="153"/>
    </row>
    <row r="241" spans="1:19" ht="15" hidden="1" outlineLevel="1" x14ac:dyDescent="0.25">
      <c r="A241" s="1"/>
      <c r="B241" s="56"/>
      <c r="C241" s="5" t="s">
        <v>220</v>
      </c>
      <c r="D241" s="155"/>
      <c r="E241" s="270"/>
      <c r="F241" s="193">
        <f>F238-F240</f>
        <v>0</v>
      </c>
      <c r="G241" s="193">
        <f t="shared" ref="G241:O241" si="168">G238-G240</f>
        <v>0</v>
      </c>
      <c r="H241" s="193">
        <f t="shared" si="168"/>
        <v>0</v>
      </c>
      <c r="I241" s="193">
        <f t="shared" si="168"/>
        <v>0</v>
      </c>
      <c r="J241" s="193">
        <f t="shared" si="168"/>
        <v>0</v>
      </c>
      <c r="K241" s="193">
        <f t="shared" si="168"/>
        <v>0</v>
      </c>
      <c r="L241" s="193">
        <f t="shared" si="168"/>
        <v>0</v>
      </c>
      <c r="M241" s="193">
        <f t="shared" si="168"/>
        <v>0</v>
      </c>
      <c r="N241" s="193">
        <f t="shared" si="168"/>
        <v>0</v>
      </c>
      <c r="O241" s="269">
        <f t="shared" si="168"/>
        <v>0</v>
      </c>
      <c r="Q241" s="414"/>
      <c r="R241" s="415"/>
      <c r="S241" s="153"/>
    </row>
    <row r="242" spans="1:19" hidden="1" outlineLevel="1" x14ac:dyDescent="0.2">
      <c r="Q242" s="414"/>
      <c r="R242" s="415"/>
    </row>
    <row r="243" spans="1:19" ht="15" hidden="1" outlineLevel="1" x14ac:dyDescent="0.25">
      <c r="A243" s="1"/>
      <c r="B243" s="56" t="s">
        <v>221</v>
      </c>
      <c r="D243" s="155"/>
      <c r="E243" s="193"/>
      <c r="F243" s="193"/>
      <c r="G243" s="193"/>
      <c r="H243" s="193"/>
      <c r="I243" s="193"/>
      <c r="J243" s="193"/>
      <c r="K243" s="193"/>
      <c r="L243" s="193"/>
      <c r="M243" s="193"/>
      <c r="N243" s="193"/>
      <c r="O243" s="193"/>
      <c r="Q243" s="414"/>
      <c r="R243" s="415"/>
      <c r="S243" s="153"/>
    </row>
    <row r="244" spans="1:19" ht="15" hidden="1" outlineLevel="1" x14ac:dyDescent="0.25">
      <c r="A244" s="1"/>
      <c r="B244" s="56"/>
      <c r="C244" s="5" t="s">
        <v>222</v>
      </c>
      <c r="D244" s="155"/>
      <c r="E244" s="193">
        <f t="shared" ref="E244:O244" si="169">E191</f>
        <v>0</v>
      </c>
      <c r="F244" s="193">
        <f t="shared" si="169"/>
        <v>0</v>
      </c>
      <c r="G244" s="193">
        <f t="shared" si="169"/>
        <v>0</v>
      </c>
      <c r="H244" s="193">
        <f t="shared" si="169"/>
        <v>0</v>
      </c>
      <c r="I244" s="193">
        <f t="shared" si="169"/>
        <v>0</v>
      </c>
      <c r="J244" s="193">
        <f t="shared" si="169"/>
        <v>0</v>
      </c>
      <c r="K244" s="193">
        <f t="shared" si="169"/>
        <v>0</v>
      </c>
      <c r="L244" s="193">
        <f t="shared" si="169"/>
        <v>0</v>
      </c>
      <c r="M244" s="193">
        <f t="shared" si="169"/>
        <v>0</v>
      </c>
      <c r="N244" s="193">
        <f t="shared" si="169"/>
        <v>0</v>
      </c>
      <c r="O244" s="193">
        <f t="shared" si="169"/>
        <v>0</v>
      </c>
      <c r="Q244" s="414"/>
      <c r="R244" s="415"/>
      <c r="S244" s="153"/>
    </row>
    <row r="245" spans="1:19" ht="15" hidden="1" outlineLevel="1" x14ac:dyDescent="0.25">
      <c r="A245" s="1"/>
      <c r="B245" s="56"/>
      <c r="C245" s="5" t="s">
        <v>223</v>
      </c>
      <c r="D245" s="155"/>
      <c r="E245" s="193"/>
      <c r="F245" s="193">
        <f t="shared" ref="F245:O245" si="170">F232</f>
        <v>0</v>
      </c>
      <c r="G245" s="193">
        <f t="shared" si="170"/>
        <v>0</v>
      </c>
      <c r="H245" s="193">
        <f t="shared" si="170"/>
        <v>0</v>
      </c>
      <c r="I245" s="193">
        <f t="shared" si="170"/>
        <v>0</v>
      </c>
      <c r="J245" s="193">
        <f t="shared" si="170"/>
        <v>0</v>
      </c>
      <c r="K245" s="193">
        <f t="shared" si="170"/>
        <v>0</v>
      </c>
      <c r="L245" s="193">
        <f t="shared" si="170"/>
        <v>0</v>
      </c>
      <c r="M245" s="193">
        <f t="shared" si="170"/>
        <v>0</v>
      </c>
      <c r="N245" s="193">
        <f t="shared" si="170"/>
        <v>0</v>
      </c>
      <c r="O245" s="193">
        <f t="shared" si="170"/>
        <v>0</v>
      </c>
      <c r="Q245" s="414"/>
      <c r="R245" s="415"/>
      <c r="S245" s="153"/>
    </row>
    <row r="246" spans="1:19" ht="15" hidden="1" outlineLevel="1" x14ac:dyDescent="0.25">
      <c r="A246" s="1"/>
      <c r="B246" s="56"/>
      <c r="C246" s="5" t="s">
        <v>224</v>
      </c>
      <c r="D246" s="155"/>
      <c r="E246" s="125"/>
      <c r="F246" s="125" t="e">
        <f t="shared" ref="F246:O246" si="171">F244/F245</f>
        <v>#DIV/0!</v>
      </c>
      <c r="G246" s="125" t="e">
        <f t="shared" si="171"/>
        <v>#DIV/0!</v>
      </c>
      <c r="H246" s="125" t="e">
        <f t="shared" si="171"/>
        <v>#DIV/0!</v>
      </c>
      <c r="I246" s="125" t="e">
        <f t="shared" si="171"/>
        <v>#DIV/0!</v>
      </c>
      <c r="J246" s="125" t="e">
        <f t="shared" si="171"/>
        <v>#DIV/0!</v>
      </c>
      <c r="K246" s="125" t="e">
        <f t="shared" si="171"/>
        <v>#DIV/0!</v>
      </c>
      <c r="L246" s="125" t="e">
        <f t="shared" si="171"/>
        <v>#DIV/0!</v>
      </c>
      <c r="M246" s="125" t="e">
        <f t="shared" si="171"/>
        <v>#DIV/0!</v>
      </c>
      <c r="N246" s="125" t="e">
        <f t="shared" si="171"/>
        <v>#DIV/0!</v>
      </c>
      <c r="O246" s="125" t="e">
        <f t="shared" si="171"/>
        <v>#DIV/0!</v>
      </c>
      <c r="Q246" s="414"/>
      <c r="R246" s="415"/>
      <c r="S246" s="153"/>
    </row>
    <row r="247" spans="1:19" ht="15" hidden="1" outlineLevel="1" x14ac:dyDescent="0.25">
      <c r="A247" s="1"/>
      <c r="B247" s="56"/>
      <c r="D247" s="155"/>
      <c r="E247" s="125"/>
      <c r="F247" s="125"/>
      <c r="G247" s="125"/>
      <c r="H247" s="125"/>
      <c r="I247" s="125"/>
      <c r="J247" s="125"/>
      <c r="K247" s="125"/>
      <c r="L247" s="125"/>
      <c r="M247" s="125"/>
      <c r="N247" s="125"/>
      <c r="O247" s="125"/>
      <c r="Q247" s="414"/>
      <c r="R247" s="415"/>
      <c r="S247" s="153"/>
    </row>
    <row r="248" spans="1:19" ht="15" hidden="1" outlineLevel="1" x14ac:dyDescent="0.25">
      <c r="A248" s="1"/>
      <c r="B248" s="1" t="s">
        <v>225</v>
      </c>
      <c r="D248" s="155"/>
      <c r="E248" s="639">
        <f>-('1-Cockpit&amp;assumptions'!D11/D254-'2-Valuation DCF'!E233)-'1-Cockpit&amp;assumptions'!E144</f>
        <v>-1400</v>
      </c>
      <c r="F248" s="639">
        <f t="shared" ref="F248:O248" si="172">F244-F245</f>
        <v>0</v>
      </c>
      <c r="G248" s="639">
        <f t="shared" si="172"/>
        <v>0</v>
      </c>
      <c r="H248" s="639">
        <f t="shared" si="172"/>
        <v>0</v>
      </c>
      <c r="I248" s="639">
        <f t="shared" si="172"/>
        <v>0</v>
      </c>
      <c r="J248" s="639">
        <f t="shared" si="172"/>
        <v>0</v>
      </c>
      <c r="K248" s="639">
        <f t="shared" si="172"/>
        <v>0</v>
      </c>
      <c r="L248" s="639">
        <f t="shared" si="172"/>
        <v>0</v>
      </c>
      <c r="M248" s="639">
        <f t="shared" si="172"/>
        <v>0</v>
      </c>
      <c r="N248" s="639">
        <f t="shared" si="172"/>
        <v>0</v>
      </c>
      <c r="O248" s="639">
        <f t="shared" si="172"/>
        <v>0</v>
      </c>
      <c r="P248" s="95"/>
      <c r="Q248" s="151"/>
      <c r="R248" s="415"/>
      <c r="S248" s="153"/>
    </row>
    <row r="249" spans="1:19" ht="13.5" hidden="1" outlineLevel="1" thickBot="1" x14ac:dyDescent="0.25">
      <c r="A249" s="1"/>
      <c r="B249" s="1" t="s">
        <v>226</v>
      </c>
      <c r="D249" s="640" t="e">
        <f>IRR(E248:O248)</f>
        <v>#NUM!</v>
      </c>
      <c r="E249" s="125"/>
      <c r="F249" s="125"/>
      <c r="G249" s="125"/>
      <c r="H249" s="125"/>
      <c r="I249" s="125"/>
      <c r="J249" s="125"/>
      <c r="K249" s="125"/>
      <c r="L249" s="125"/>
      <c r="M249" s="125"/>
      <c r="N249" s="125"/>
      <c r="O249" s="125"/>
      <c r="P249" s="96"/>
      <c r="Q249" s="151"/>
      <c r="R249" s="415"/>
      <c r="S249" s="153"/>
    </row>
    <row r="250" spans="1:19" hidden="1" outlineLevel="1" x14ac:dyDescent="0.2">
      <c r="A250" s="1"/>
      <c r="B250" s="56"/>
      <c r="D250" s="162"/>
      <c r="E250" s="125"/>
      <c r="F250" s="125"/>
      <c r="G250" s="125"/>
      <c r="H250" s="125"/>
      <c r="I250" s="125"/>
      <c r="J250" s="125"/>
      <c r="K250" s="125"/>
      <c r="L250" s="125"/>
      <c r="M250" s="125"/>
      <c r="N250" s="125"/>
      <c r="O250" s="125"/>
      <c r="P250" s="96"/>
      <c r="Q250" s="151"/>
      <c r="R250" s="152"/>
      <c r="S250" s="153"/>
    </row>
    <row r="251" spans="1:19" hidden="1" outlineLevel="1" x14ac:dyDescent="0.2">
      <c r="A251" s="1"/>
      <c r="B251" s="1" t="s">
        <v>227</v>
      </c>
      <c r="D251" s="162"/>
      <c r="E251" s="125"/>
      <c r="F251" s="125"/>
      <c r="G251" s="125"/>
      <c r="H251" s="125"/>
      <c r="I251" s="125"/>
      <c r="J251" s="125"/>
      <c r="K251" s="125"/>
      <c r="L251" s="125"/>
      <c r="M251" s="125"/>
      <c r="N251" s="125"/>
      <c r="O251" s="125"/>
      <c r="P251" s="96"/>
      <c r="Q251" s="151"/>
      <c r="R251" s="152"/>
      <c r="S251" s="153"/>
    </row>
    <row r="252" spans="1:19" hidden="1" outlineLevel="1" x14ac:dyDescent="0.2">
      <c r="A252" s="1"/>
      <c r="B252" s="56"/>
      <c r="C252" s="5" t="s">
        <v>228</v>
      </c>
      <c r="D252" s="417">
        <f>D234</f>
        <v>0</v>
      </c>
      <c r="E252" s="125"/>
      <c r="F252" s="125"/>
      <c r="G252" s="125"/>
      <c r="H252" s="125"/>
      <c r="I252" s="125"/>
      <c r="J252" s="125"/>
      <c r="K252" s="125"/>
      <c r="L252" s="125"/>
      <c r="M252" s="125"/>
      <c r="N252" s="125"/>
      <c r="O252" s="125"/>
      <c r="P252" s="96"/>
      <c r="Q252" s="151"/>
      <c r="R252" s="152"/>
      <c r="S252" s="153"/>
    </row>
    <row r="253" spans="1:19" hidden="1" outlineLevel="1" x14ac:dyDescent="0.2">
      <c r="A253" s="1"/>
      <c r="B253" s="56"/>
      <c r="C253" s="5" t="s">
        <v>229</v>
      </c>
      <c r="D253" s="417">
        <f>100%-D252</f>
        <v>1</v>
      </c>
      <c r="E253" s="125"/>
      <c r="F253" s="125"/>
      <c r="G253" s="125"/>
      <c r="H253" s="125"/>
      <c r="I253" s="125"/>
      <c r="J253" s="125"/>
      <c r="K253" s="125"/>
      <c r="L253" s="125"/>
      <c r="M253" s="125"/>
      <c r="N253" s="125"/>
      <c r="O253" s="125"/>
      <c r="P253" s="96"/>
      <c r="Q253" s="151"/>
      <c r="R253" s="152"/>
      <c r="S253" s="153"/>
    </row>
    <row r="254" spans="1:19" hidden="1" outlineLevel="1" x14ac:dyDescent="0.2">
      <c r="A254" s="1"/>
      <c r="B254" s="56"/>
      <c r="C254" s="5" t="s">
        <v>230</v>
      </c>
      <c r="D254" s="416">
        <f>SUM(D252:D253)</f>
        <v>1</v>
      </c>
      <c r="E254" s="125"/>
      <c r="F254" s="125"/>
      <c r="G254" s="125"/>
      <c r="H254" s="125"/>
      <c r="I254" s="125"/>
      <c r="J254" s="125"/>
      <c r="K254" s="125"/>
      <c r="L254" s="125"/>
      <c r="M254" s="125"/>
      <c r="N254" s="125"/>
      <c r="O254" s="125"/>
      <c r="P254" s="96"/>
      <c r="Q254" s="151"/>
      <c r="R254" s="152"/>
      <c r="S254" s="153"/>
    </row>
    <row r="255" spans="1:19" hidden="1" outlineLevel="1" x14ac:dyDescent="0.2">
      <c r="B255" s="124"/>
      <c r="C255" s="2"/>
      <c r="D255" s="81"/>
      <c r="E255" s="2"/>
    </row>
    <row r="256" spans="1:19" collapsed="1" x14ac:dyDescent="0.2"/>
    <row r="258" spans="7:16" x14ac:dyDescent="0.2">
      <c r="G258" s="5"/>
      <c r="N258" s="19"/>
      <c r="O258" s="19"/>
      <c r="P258" s="19"/>
    </row>
  </sheetData>
  <dataConsolidate/>
  <conditionalFormatting sqref="F217:O217">
    <cfRule type="cellIs" dxfId="2" priority="17" operator="lessThan">
      <formula>0</formula>
    </cfRule>
  </conditionalFormatting>
  <conditionalFormatting sqref="E223:O223">
    <cfRule type="cellIs" dxfId="1" priority="16" operator="lessThan">
      <formula>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2" r:id="rId4" name="List Box 54">
              <controlPr defaultSize="0" autoLine="0" autoPict="0">
                <anchor moveWithCells="1">
                  <from>
                    <xdr:col>15</xdr:col>
                    <xdr:colOff>866775</xdr:colOff>
                    <xdr:row>74</xdr:row>
                    <xdr:rowOff>9525</xdr:rowOff>
                  </from>
                  <to>
                    <xdr:col>18</xdr:col>
                    <xdr:colOff>28575</xdr:colOff>
                    <xdr:row>77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'1-Cockpit&amp;assumptions'!$E$163:$E$166</xm:f>
          </x14:formula1>
          <xm:sqref>R79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499984740745262"/>
  </sheetPr>
  <dimension ref="A2:P154"/>
  <sheetViews>
    <sheetView showGridLines="0" topLeftCell="C1" zoomScaleNormal="100" workbookViewId="0">
      <selection activeCell="G152" sqref="G152"/>
    </sheetView>
  </sheetViews>
  <sheetFormatPr defaultColWidth="11.42578125" defaultRowHeight="12.75" outlineLevelRow="1" x14ac:dyDescent="0.2"/>
  <cols>
    <col min="1" max="1" width="4.28515625" style="19" customWidth="1"/>
    <col min="2" max="2" width="5.42578125" style="19" customWidth="1"/>
    <col min="3" max="3" width="34.7109375" style="19" customWidth="1"/>
    <col min="4" max="4" width="21" style="5" customWidth="1"/>
    <col min="5" max="6" width="24.42578125" style="5" customWidth="1"/>
    <col min="7" max="7" width="23.28515625" style="5" customWidth="1"/>
    <col min="8" max="8" width="16.28515625" style="5" customWidth="1"/>
    <col min="9" max="9" width="14.7109375" style="5" customWidth="1"/>
    <col min="10" max="10" width="7.7109375" style="5" customWidth="1"/>
    <col min="11" max="11" width="13.28515625" style="5" customWidth="1"/>
    <col min="12" max="12" width="2.5703125" style="5" customWidth="1"/>
    <col min="13" max="13" width="4.28515625" style="5" customWidth="1"/>
    <col min="14" max="14" width="26" style="5" customWidth="1"/>
    <col min="15" max="15" width="15.5703125" style="5" customWidth="1"/>
    <col min="16" max="16" width="18.28515625" style="5" customWidth="1"/>
    <col min="17" max="17" width="16.28515625" style="5" bestFit="1" customWidth="1"/>
    <col min="18" max="18" width="18.7109375" style="5" customWidth="1"/>
    <col min="19" max="19" width="3.7109375" style="5" customWidth="1"/>
    <col min="20" max="20" width="16.7109375" style="5" bestFit="1" customWidth="1"/>
    <col min="21" max="16384" width="11.42578125" style="5"/>
  </cols>
  <sheetData>
    <row r="2" spans="1:16" s="302" customFormat="1" ht="18" x14ac:dyDescent="0.25">
      <c r="B2" s="303"/>
      <c r="C2" s="303" t="s">
        <v>231</v>
      </c>
      <c r="D2" s="303"/>
      <c r="E2" s="303"/>
      <c r="F2" s="303"/>
      <c r="G2" s="303"/>
      <c r="H2" s="303"/>
      <c r="I2" s="303"/>
      <c r="J2" s="303"/>
      <c r="K2" s="303"/>
      <c r="L2" s="303"/>
      <c r="M2" s="303"/>
      <c r="N2" s="303"/>
    </row>
    <row r="3" spans="1:16" hidden="1" outlineLevel="1" x14ac:dyDescent="0.2"/>
    <row r="4" spans="1:16" hidden="1" outlineLevel="1" x14ac:dyDescent="0.2"/>
    <row r="5" spans="1:16" hidden="1" outlineLevel="1" x14ac:dyDescent="0.2"/>
    <row r="6" spans="1:16" hidden="1" outlineLevel="1" x14ac:dyDescent="0.2"/>
    <row r="7" spans="1:16" hidden="1" outlineLevel="1" x14ac:dyDescent="0.2"/>
    <row r="8" spans="1:16" hidden="1" outlineLevel="1" x14ac:dyDescent="0.2"/>
    <row r="9" spans="1:16" hidden="1" outlineLevel="1" x14ac:dyDescent="0.2"/>
    <row r="10" spans="1:16" hidden="1" outlineLevel="1" x14ac:dyDescent="0.2"/>
    <row r="11" spans="1:16" s="307" customFormat="1" ht="19.149999999999999" hidden="1" customHeight="1" outlineLevel="1" x14ac:dyDescent="0.25">
      <c r="A11" s="308">
        <v>1</v>
      </c>
      <c r="B11" s="304" t="s">
        <v>232</v>
      </c>
      <c r="C11" s="305"/>
      <c r="D11" s="305"/>
      <c r="E11" s="305"/>
      <c r="F11" s="306"/>
      <c r="G11" s="305"/>
      <c r="H11" s="305"/>
      <c r="I11" s="305"/>
      <c r="J11" s="305"/>
      <c r="K11" s="305"/>
      <c r="L11" s="305"/>
      <c r="M11" s="305"/>
      <c r="N11" s="305"/>
      <c r="O11" s="305"/>
      <c r="P11" s="305"/>
    </row>
    <row r="12" spans="1:16" s="19" customFormat="1" hidden="1" outlineLevel="1" x14ac:dyDescent="0.2">
      <c r="A12" s="18"/>
      <c r="B12" s="18"/>
      <c r="I12" s="5"/>
      <c r="J12" s="5"/>
    </row>
    <row r="13" spans="1:16" s="19" customFormat="1" hidden="1" outlineLevel="1" x14ac:dyDescent="0.2">
      <c r="B13" s="19" t="s">
        <v>233</v>
      </c>
      <c r="I13" s="5"/>
      <c r="J13" s="5"/>
    </row>
    <row r="14" spans="1:16" s="19" customFormat="1" hidden="1" outlineLevel="1" x14ac:dyDescent="0.2">
      <c r="B14" s="19" t="s">
        <v>234</v>
      </c>
      <c r="I14" s="5"/>
      <c r="J14" s="5"/>
    </row>
    <row r="15" spans="1:16" s="19" customFormat="1" hidden="1" outlineLevel="1" x14ac:dyDescent="0.2">
      <c r="B15" s="19" t="s">
        <v>235</v>
      </c>
      <c r="I15" s="5"/>
      <c r="J15" s="5"/>
    </row>
    <row r="16" spans="1:16" s="19" customFormat="1" ht="13.5" hidden="1" outlineLevel="1" thickBot="1" x14ac:dyDescent="0.25">
      <c r="I16" s="5"/>
      <c r="J16" s="5"/>
    </row>
    <row r="17" spans="1:10" s="19" customFormat="1" hidden="1" outlineLevel="1" x14ac:dyDescent="0.2">
      <c r="B17" s="274"/>
      <c r="C17" s="275"/>
      <c r="D17" s="275"/>
      <c r="E17" s="275"/>
      <c r="F17" s="275"/>
      <c r="G17" s="275"/>
      <c r="H17" s="276"/>
      <c r="I17" s="5"/>
      <c r="J17" s="5"/>
    </row>
    <row r="18" spans="1:10" s="19" customFormat="1" hidden="1" outlineLevel="1" x14ac:dyDescent="0.2">
      <c r="B18" s="36"/>
      <c r="C18" s="130"/>
      <c r="D18" s="630" t="s">
        <v>91</v>
      </c>
      <c r="E18" s="630" t="s">
        <v>92</v>
      </c>
      <c r="F18" s="630" t="s">
        <v>93</v>
      </c>
      <c r="G18" s="631" t="s">
        <v>236</v>
      </c>
      <c r="H18" s="277"/>
      <c r="I18" s="5"/>
      <c r="J18" s="5"/>
    </row>
    <row r="19" spans="1:10" s="19" customFormat="1" hidden="1" outlineLevel="1" x14ac:dyDescent="0.2">
      <c r="B19" s="36"/>
      <c r="C19" s="130"/>
      <c r="D19" s="630" t="s">
        <v>94</v>
      </c>
      <c r="E19" s="630" t="s">
        <v>95</v>
      </c>
      <c r="F19" s="630" t="s">
        <v>96</v>
      </c>
      <c r="G19" s="632"/>
      <c r="H19" s="277"/>
      <c r="I19" s="5"/>
      <c r="J19" s="5"/>
    </row>
    <row r="20" spans="1:10" s="19" customFormat="1" hidden="1" outlineLevel="1" x14ac:dyDescent="0.2">
      <c r="B20" s="36"/>
      <c r="C20" s="633" t="s">
        <v>97</v>
      </c>
      <c r="D20" s="634">
        <f>'1-Cockpit&amp;assumptions'!E196</f>
        <v>44321</v>
      </c>
      <c r="E20" s="634">
        <f>'1-Cockpit&amp;assumptions'!F196</f>
        <v>43994</v>
      </c>
      <c r="F20" s="634">
        <f>'1-Cockpit&amp;assumptions'!G196</f>
        <v>44129</v>
      </c>
      <c r="G20" s="635">
        <f>'1-Cockpit&amp;assumptions'!E86</f>
        <v>2024</v>
      </c>
      <c r="H20" s="277"/>
      <c r="I20" s="5"/>
      <c r="J20" s="5"/>
    </row>
    <row r="21" spans="1:10" s="19" customFormat="1" hidden="1" outlineLevel="1" x14ac:dyDescent="0.2">
      <c r="B21" s="37"/>
      <c r="C21" s="19" t="str">
        <f>'1-Cockpit&amp;assumptions'!C197</f>
        <v>Purchase price (th€)</v>
      </c>
      <c r="D21" s="131">
        <f>'1-Cockpit&amp;assumptions'!E197</f>
        <v>105000</v>
      </c>
      <c r="E21" s="131">
        <f>'1-Cockpit&amp;assumptions'!F197</f>
        <v>285000</v>
      </c>
      <c r="F21" s="131">
        <f>'1-Cockpit&amp;assumptions'!G197</f>
        <v>762000</v>
      </c>
      <c r="G21" s="589"/>
      <c r="H21" s="278"/>
      <c r="I21" s="5"/>
      <c r="J21" s="5"/>
    </row>
    <row r="22" spans="1:10" hidden="1" outlineLevel="1" x14ac:dyDescent="0.2">
      <c r="B22" s="37"/>
      <c r="C22" s="19" t="str">
        <f>'1-Cockpit&amp;assumptions'!C198</f>
        <v>Sales (th€)</v>
      </c>
      <c r="D22" s="131">
        <f>'1-Cockpit&amp;assumptions'!E198</f>
        <v>65000</v>
      </c>
      <c r="E22" s="131">
        <f>'1-Cockpit&amp;assumptions'!F198</f>
        <v>80000</v>
      </c>
      <c r="F22" s="131">
        <f>'1-Cockpit&amp;assumptions'!G198</f>
        <v>145000</v>
      </c>
      <c r="G22" s="636"/>
      <c r="H22" s="278"/>
    </row>
    <row r="23" spans="1:10" hidden="1" outlineLevel="1" x14ac:dyDescent="0.2">
      <c r="A23" s="18"/>
      <c r="B23" s="37"/>
      <c r="C23" s="19" t="str">
        <f>'1-Cockpit&amp;assumptions'!C199</f>
        <v>EBITDA (th€)</v>
      </c>
      <c r="D23" s="131">
        <f>'1-Cockpit&amp;assumptions'!E199</f>
        <v>14200</v>
      </c>
      <c r="E23" s="131">
        <f>'1-Cockpit&amp;assumptions'!F199</f>
        <v>27400</v>
      </c>
      <c r="F23" s="131">
        <f>'1-Cockpit&amp;assumptions'!G199</f>
        <v>63400</v>
      </c>
      <c r="G23" s="696"/>
      <c r="H23" s="279"/>
    </row>
    <row r="24" spans="1:10" hidden="1" outlineLevel="1" x14ac:dyDescent="0.2">
      <c r="B24" s="37"/>
      <c r="C24" s="19" t="str">
        <f>'1-Cockpit&amp;assumptions'!C200</f>
        <v>EBIT (th€)</v>
      </c>
      <c r="D24" s="131">
        <f>'1-Cockpit&amp;assumptions'!E200</f>
        <v>8100</v>
      </c>
      <c r="E24" s="131">
        <f>'1-Cockpit&amp;assumptions'!F200</f>
        <v>23000</v>
      </c>
      <c r="F24" s="131">
        <f>'1-Cockpit&amp;assumptions'!G200</f>
        <v>53000</v>
      </c>
      <c r="G24" s="696"/>
      <c r="H24" s="278"/>
    </row>
    <row r="25" spans="1:10" hidden="1" outlineLevel="1" x14ac:dyDescent="0.2">
      <c r="B25" s="37"/>
      <c r="C25" s="19" t="str">
        <f>'1-Cockpit&amp;assumptions'!C201</f>
        <v>Net earnings (th€)</v>
      </c>
      <c r="D25" s="131">
        <f>'1-Cockpit&amp;assumptions'!E201</f>
        <v>5200</v>
      </c>
      <c r="E25" s="131">
        <f>'1-Cockpit&amp;assumptions'!F201</f>
        <v>12800</v>
      </c>
      <c r="F25" s="131">
        <f>'1-Cockpit&amp;assumptions'!G201</f>
        <v>52000</v>
      </c>
      <c r="G25" s="636"/>
      <c r="H25" s="278"/>
    </row>
    <row r="26" spans="1:10" hidden="1" outlineLevel="1" x14ac:dyDescent="0.2">
      <c r="B26" s="37"/>
      <c r="C26" s="19" t="str">
        <f>'1-Cockpit&amp;assumptions'!C202</f>
        <v>Shareholder's Equity (Book value) (th€)</v>
      </c>
      <c r="D26" s="131">
        <f>'1-Cockpit&amp;assumptions'!E202</f>
        <v>20000</v>
      </c>
      <c r="E26" s="131">
        <f>'1-Cockpit&amp;assumptions'!F202</f>
        <v>90000</v>
      </c>
      <c r="F26" s="131">
        <f>'1-Cockpit&amp;assumptions'!G202</f>
        <v>105000</v>
      </c>
      <c r="G26" s="636"/>
      <c r="H26" s="278"/>
    </row>
    <row r="27" spans="1:10" hidden="1" outlineLevel="1" x14ac:dyDescent="0.2">
      <c r="B27" s="37"/>
      <c r="C27" s="19" t="str">
        <f>'1-Cockpit&amp;assumptions'!C203</f>
        <v>Net debt (th€)</v>
      </c>
      <c r="D27" s="131">
        <f>'1-Cockpit&amp;assumptions'!E203</f>
        <v>32000</v>
      </c>
      <c r="E27" s="131">
        <f>'1-Cockpit&amp;assumptions'!F203</f>
        <v>62300</v>
      </c>
      <c r="F27" s="131">
        <f>'1-Cockpit&amp;assumptions'!G203</f>
        <v>280000</v>
      </c>
      <c r="G27" s="636"/>
      <c r="H27" s="278"/>
    </row>
    <row r="28" spans="1:10" hidden="1" outlineLevel="1" x14ac:dyDescent="0.2">
      <c r="B28" s="37"/>
      <c r="C28" s="19" t="str">
        <f>'1-Cockpit&amp;assumptions'!C204</f>
        <v>Number of shares (in '000)</v>
      </c>
      <c r="D28" s="131">
        <f>'1-Cockpit&amp;assumptions'!E204</f>
        <v>2500</v>
      </c>
      <c r="E28" s="131">
        <f>'1-Cockpit&amp;assumptions'!F204</f>
        <v>1000</v>
      </c>
      <c r="F28" s="131">
        <f>'1-Cockpit&amp;assumptions'!G204</f>
        <v>5000</v>
      </c>
      <c r="G28" s="636"/>
      <c r="H28" s="278"/>
    </row>
    <row r="29" spans="1:10" hidden="1" outlineLevel="1" x14ac:dyDescent="0.2">
      <c r="B29" s="37"/>
      <c r="C29" s="19" t="s">
        <v>237</v>
      </c>
      <c r="D29" s="636"/>
      <c r="E29" s="636"/>
      <c r="F29" s="636"/>
      <c r="G29" s="131"/>
      <c r="H29" s="278"/>
    </row>
    <row r="30" spans="1:10" hidden="1" outlineLevel="1" x14ac:dyDescent="0.2">
      <c r="B30" s="37"/>
      <c r="C30" s="19" t="s">
        <v>238</v>
      </c>
      <c r="D30" s="131">
        <f>D26/D28</f>
        <v>8</v>
      </c>
      <c r="E30" s="131">
        <f t="shared" ref="E30:F30" si="0">E26/E28</f>
        <v>90</v>
      </c>
      <c r="F30" s="131">
        <f t="shared" si="0"/>
        <v>21</v>
      </c>
      <c r="G30" s="131"/>
      <c r="H30" s="278"/>
    </row>
    <row r="31" spans="1:10" ht="13.5" hidden="1" outlineLevel="1" thickBot="1" x14ac:dyDescent="0.25">
      <c r="B31" s="45"/>
      <c r="C31" s="46"/>
      <c r="D31" s="69"/>
      <c r="E31" s="69"/>
      <c r="F31" s="69"/>
      <c r="G31" s="69"/>
      <c r="H31" s="280"/>
    </row>
    <row r="32" spans="1:10" hidden="1" outlineLevel="1" x14ac:dyDescent="0.2">
      <c r="A32" s="18"/>
      <c r="C32" s="5"/>
      <c r="E32" s="39"/>
      <c r="F32" s="71"/>
      <c r="G32" s="71"/>
      <c r="H32" s="39"/>
    </row>
    <row r="33" spans="1:16" hidden="1" outlineLevel="1" x14ac:dyDescent="0.2">
      <c r="B33" s="281" t="s">
        <v>239</v>
      </c>
      <c r="C33" s="282"/>
      <c r="D33" s="283">
        <f>+D23/D22</f>
        <v>0.21846153846153846</v>
      </c>
      <c r="E33" s="283">
        <f t="shared" ref="E33:G33" si="1">+E23/E22</f>
        <v>0.34250000000000003</v>
      </c>
      <c r="F33" s="283">
        <f t="shared" si="1"/>
        <v>0.43724137931034485</v>
      </c>
      <c r="G33" s="284" t="e">
        <f t="shared" si="1"/>
        <v>#DIV/0!</v>
      </c>
      <c r="H33" s="138"/>
    </row>
    <row r="34" spans="1:16" hidden="1" outlineLevel="1" x14ac:dyDescent="0.2">
      <c r="A34" s="70"/>
      <c r="B34" s="281" t="s">
        <v>240</v>
      </c>
      <c r="C34" s="282"/>
      <c r="D34" s="283">
        <f>D24/D22</f>
        <v>0.12461538461538461</v>
      </c>
      <c r="E34" s="283">
        <f>E24/E22</f>
        <v>0.28749999999999998</v>
      </c>
      <c r="F34" s="283">
        <f>F24/F22</f>
        <v>0.36551724137931035</v>
      </c>
      <c r="G34" s="284" t="e">
        <f>G24/G22</f>
        <v>#DIV/0!</v>
      </c>
      <c r="H34" s="138"/>
    </row>
    <row r="35" spans="1:16" hidden="1" outlineLevel="1" x14ac:dyDescent="0.2">
      <c r="D35" s="637"/>
    </row>
    <row r="36" spans="1:16" s="307" customFormat="1" ht="18" hidden="1" customHeight="1" outlineLevel="1" x14ac:dyDescent="0.25">
      <c r="A36" s="308">
        <v>2</v>
      </c>
      <c r="B36" s="304" t="s">
        <v>241</v>
      </c>
      <c r="C36" s="305"/>
      <c r="D36" s="305"/>
      <c r="E36" s="305"/>
      <c r="F36" s="306"/>
      <c r="G36" s="305"/>
      <c r="H36" s="305"/>
      <c r="I36" s="305"/>
      <c r="J36" s="305"/>
      <c r="K36" s="305"/>
      <c r="L36" s="305"/>
      <c r="M36" s="305"/>
      <c r="N36" s="305"/>
      <c r="O36" s="305"/>
      <c r="P36" s="305"/>
    </row>
    <row r="37" spans="1:16" s="19" customFormat="1" ht="13.5" hidden="1" outlineLevel="1" thickBot="1" x14ac:dyDescent="0.25">
      <c r="A37" s="20"/>
      <c r="B37" s="21"/>
      <c r="C37" s="18"/>
      <c r="D37" s="18"/>
      <c r="E37" s="18"/>
      <c r="F37" s="22"/>
      <c r="G37" s="18"/>
      <c r="H37" s="18"/>
      <c r="I37" s="18"/>
    </row>
    <row r="38" spans="1:16" hidden="1" outlineLevel="1" x14ac:dyDescent="0.2">
      <c r="B38" s="23"/>
      <c r="C38" s="24"/>
      <c r="D38" s="48"/>
      <c r="E38" s="48"/>
      <c r="F38" s="48"/>
      <c r="G38" s="48"/>
      <c r="H38" s="287"/>
    </row>
    <row r="39" spans="1:16" hidden="1" outlineLevel="1" x14ac:dyDescent="0.2">
      <c r="B39" s="33"/>
      <c r="C39" s="28" t="s">
        <v>242</v>
      </c>
      <c r="D39" s="49" t="str">
        <f t="shared" ref="D39:F40" si="2">D18</f>
        <v>Company A (Germany)</v>
      </c>
      <c r="E39" s="49" t="str">
        <f t="shared" si="2"/>
        <v>Company B (France)</v>
      </c>
      <c r="F39" s="49" t="str">
        <f t="shared" si="2"/>
        <v>Company C (USA)</v>
      </c>
      <c r="G39" s="49" t="s">
        <v>243</v>
      </c>
      <c r="H39" s="288"/>
    </row>
    <row r="40" spans="1:16" hidden="1" outlineLevel="1" x14ac:dyDescent="0.2">
      <c r="B40" s="33"/>
      <c r="C40" s="28"/>
      <c r="D40" s="49" t="str">
        <f t="shared" si="2"/>
        <v xml:space="preserve"> Anhoys Brewery </v>
      </c>
      <c r="E40" s="49" t="str">
        <f t="shared" si="2"/>
        <v xml:space="preserve">Bastion Brewery </v>
      </c>
      <c r="F40" s="49" t="str">
        <f t="shared" si="2"/>
        <v>Castle Rock Brewery</v>
      </c>
      <c r="G40" s="49" t="s">
        <v>143</v>
      </c>
      <c r="H40" s="288"/>
    </row>
    <row r="41" spans="1:16" hidden="1" outlineLevel="1" x14ac:dyDescent="0.2">
      <c r="B41" s="33"/>
      <c r="C41" s="290" t="s">
        <v>244</v>
      </c>
      <c r="D41" s="291">
        <f>1/3</f>
        <v>0.33333333333333331</v>
      </c>
      <c r="E41" s="291">
        <f t="shared" ref="E41:F41" si="3">1/3</f>
        <v>0.33333333333333331</v>
      </c>
      <c r="F41" s="291">
        <f t="shared" si="3"/>
        <v>0.33333333333333331</v>
      </c>
      <c r="G41" s="292">
        <f>SUM(D41:F41)</f>
        <v>1</v>
      </c>
      <c r="H41" s="288"/>
    </row>
    <row r="42" spans="1:16" hidden="1" outlineLevel="1" x14ac:dyDescent="0.2">
      <c r="B42" s="33"/>
      <c r="C42" s="285" t="s">
        <v>245</v>
      </c>
      <c r="D42" s="601"/>
      <c r="E42" s="601"/>
      <c r="F42" s="601"/>
      <c r="G42" s="601"/>
      <c r="H42" s="288"/>
    </row>
    <row r="43" spans="1:16" hidden="1" outlineLevel="1" x14ac:dyDescent="0.2">
      <c r="B43" s="33"/>
      <c r="C43" s="285" t="s">
        <v>246</v>
      </c>
      <c r="D43" s="601"/>
      <c r="E43" s="601"/>
      <c r="F43" s="601"/>
      <c r="G43" s="601"/>
      <c r="H43" s="505"/>
      <c r="I43" s="347"/>
    </row>
    <row r="44" spans="1:16" hidden="1" outlineLevel="1" x14ac:dyDescent="0.2">
      <c r="B44" s="33"/>
      <c r="C44" s="285" t="s">
        <v>247</v>
      </c>
      <c r="D44" s="601"/>
      <c r="E44" s="601"/>
      <c r="F44" s="601"/>
      <c r="G44" s="601"/>
      <c r="H44" s="505"/>
      <c r="I44" s="347"/>
    </row>
    <row r="45" spans="1:16" hidden="1" outlineLevel="1" x14ac:dyDescent="0.2">
      <c r="B45" s="33"/>
      <c r="C45" s="285" t="s">
        <v>248</v>
      </c>
      <c r="D45" s="601"/>
      <c r="E45" s="601"/>
      <c r="F45" s="601"/>
      <c r="G45" s="601"/>
      <c r="H45" s="505"/>
      <c r="I45" s="347"/>
    </row>
    <row r="46" spans="1:16" hidden="1" outlineLevel="1" x14ac:dyDescent="0.2">
      <c r="B46" s="33"/>
      <c r="C46" s="285" t="s">
        <v>249</v>
      </c>
      <c r="D46" s="601"/>
      <c r="E46" s="601"/>
      <c r="F46" s="601"/>
      <c r="G46" s="601"/>
      <c r="H46" s="288"/>
    </row>
    <row r="47" spans="1:16" hidden="1" outlineLevel="1" x14ac:dyDescent="0.2">
      <c r="B47" s="33"/>
      <c r="C47" s="285" t="s">
        <v>250</v>
      </c>
      <c r="D47" s="601"/>
      <c r="E47" s="601"/>
      <c r="F47" s="601"/>
      <c r="G47" s="601"/>
      <c r="H47" s="288"/>
    </row>
    <row r="48" spans="1:16" ht="13.5" hidden="1" outlineLevel="1" thickBot="1" x14ac:dyDescent="0.25">
      <c r="B48" s="40"/>
      <c r="C48" s="46"/>
      <c r="D48" s="132"/>
      <c r="E48" s="132"/>
      <c r="F48" s="132"/>
      <c r="G48" s="132"/>
      <c r="H48" s="289"/>
    </row>
    <row r="49" spans="1:16" hidden="1" outlineLevel="1" x14ac:dyDescent="0.2">
      <c r="B49" s="44"/>
      <c r="C49" s="38"/>
      <c r="D49" s="50"/>
      <c r="E49" s="50"/>
      <c r="F49" s="50"/>
      <c r="G49" s="50"/>
      <c r="H49" s="44"/>
    </row>
    <row r="50" spans="1:16" hidden="1" outlineLevel="1" x14ac:dyDescent="0.2">
      <c r="B50" s="44"/>
      <c r="C50" s="38"/>
      <c r="D50" s="50"/>
      <c r="E50" s="50"/>
      <c r="F50" s="50"/>
      <c r="G50" s="50"/>
      <c r="H50" s="44"/>
    </row>
    <row r="51" spans="1:16" hidden="1" outlineLevel="1" x14ac:dyDescent="0.2">
      <c r="B51" s="44"/>
      <c r="C51" s="38"/>
      <c r="D51" s="50"/>
      <c r="E51" s="50"/>
      <c r="F51" s="50"/>
      <c r="G51" s="50"/>
      <c r="H51" s="44"/>
    </row>
    <row r="52" spans="1:16" hidden="1" outlineLevel="1" x14ac:dyDescent="0.2">
      <c r="B52" s="44"/>
      <c r="C52" s="38"/>
      <c r="D52" s="50"/>
      <c r="E52" s="50"/>
      <c r="F52" s="50"/>
      <c r="G52" s="50"/>
      <c r="H52" s="44"/>
    </row>
    <row r="53" spans="1:16" hidden="1" outlineLevel="1" x14ac:dyDescent="0.2">
      <c r="B53" s="44"/>
      <c r="C53" s="38"/>
      <c r="D53" s="50"/>
      <c r="E53" s="50"/>
      <c r="F53" s="50"/>
      <c r="G53" s="50"/>
      <c r="H53" s="44"/>
    </row>
    <row r="54" spans="1:16" hidden="1" outlineLevel="1" x14ac:dyDescent="0.2">
      <c r="B54" s="44"/>
      <c r="C54" s="38"/>
      <c r="D54" s="50"/>
      <c r="E54" s="50"/>
      <c r="F54" s="50"/>
      <c r="G54" s="50"/>
      <c r="H54" s="44"/>
    </row>
    <row r="55" spans="1:16" hidden="1" outlineLevel="1" x14ac:dyDescent="0.2">
      <c r="H55" s="44"/>
    </row>
    <row r="56" spans="1:16" s="307" customFormat="1" ht="15.75" hidden="1" outlineLevel="1" x14ac:dyDescent="0.25">
      <c r="A56" s="309">
        <v>3</v>
      </c>
      <c r="B56" s="304" t="s">
        <v>251</v>
      </c>
      <c r="C56" s="304"/>
      <c r="D56" s="304"/>
      <c r="E56" s="304"/>
      <c r="F56" s="310"/>
      <c r="G56" s="304"/>
      <c r="H56" s="304"/>
      <c r="I56" s="304"/>
      <c r="J56" s="304"/>
      <c r="K56" s="304"/>
      <c r="L56" s="304"/>
      <c r="M56" s="304"/>
      <c r="N56" s="304"/>
      <c r="O56" s="304"/>
      <c r="P56" s="304"/>
    </row>
    <row r="57" spans="1:16" hidden="1" outlineLevel="1" x14ac:dyDescent="0.2">
      <c r="B57" s="5"/>
      <c r="C57" s="1"/>
      <c r="D57" s="47"/>
      <c r="E57" s="47"/>
      <c r="F57" s="50"/>
      <c r="G57" s="50"/>
      <c r="H57" s="44"/>
    </row>
    <row r="58" spans="1:16" hidden="1" outlineLevel="1" x14ac:dyDescent="0.2">
      <c r="B58" s="1" t="s">
        <v>252</v>
      </c>
      <c r="C58" s="1"/>
      <c r="D58" s="47"/>
      <c r="E58" s="47"/>
      <c r="F58" s="50"/>
      <c r="G58" s="50"/>
      <c r="H58" s="44"/>
    </row>
    <row r="59" spans="1:16" hidden="1" outlineLevel="1" x14ac:dyDescent="0.2">
      <c r="B59" s="1" t="s">
        <v>253</v>
      </c>
      <c r="C59" s="1"/>
      <c r="D59" s="47"/>
      <c r="E59" s="47"/>
      <c r="F59" s="50"/>
      <c r="G59" s="50"/>
      <c r="H59" s="44"/>
    </row>
    <row r="60" spans="1:16" ht="13.5" hidden="1" outlineLevel="1" thickBot="1" x14ac:dyDescent="0.25">
      <c r="B60" s="5"/>
      <c r="C60" s="1"/>
      <c r="D60" s="47"/>
      <c r="E60" s="47"/>
      <c r="F60" s="50"/>
      <c r="G60" s="50"/>
      <c r="H60" s="44"/>
    </row>
    <row r="61" spans="1:16" hidden="1" outlineLevel="1" x14ac:dyDescent="0.2">
      <c r="B61" s="23"/>
      <c r="C61" s="24"/>
      <c r="D61" s="51"/>
      <c r="E61" s="51"/>
      <c r="F61" s="51"/>
      <c r="G61" s="51"/>
      <c r="H61" s="48"/>
      <c r="I61" s="26"/>
    </row>
    <row r="62" spans="1:16" ht="22.15" hidden="1" customHeight="1" outlineLevel="1" x14ac:dyDescent="0.2">
      <c r="B62" s="33"/>
      <c r="C62" s="524" t="s">
        <v>254</v>
      </c>
      <c r="D62" s="49"/>
      <c r="E62" s="49"/>
      <c r="F62" s="311" t="s">
        <v>255</v>
      </c>
      <c r="G62" s="49"/>
      <c r="H62" s="49" t="s">
        <v>256</v>
      </c>
      <c r="I62" s="35"/>
    </row>
    <row r="63" spans="1:16" hidden="1" outlineLevel="1" x14ac:dyDescent="0.2">
      <c r="B63" s="33"/>
      <c r="C63" s="28" t="s">
        <v>257</v>
      </c>
      <c r="D63" s="49"/>
      <c r="E63" s="49"/>
      <c r="F63" s="312">
        <f>1/3</f>
        <v>0.33333333333333331</v>
      </c>
      <c r="G63" s="293"/>
      <c r="H63" s="602"/>
      <c r="I63" s="35"/>
    </row>
    <row r="64" spans="1:16" hidden="1" outlineLevel="1" x14ac:dyDescent="0.2">
      <c r="A64" s="18"/>
      <c r="B64" s="33"/>
      <c r="C64" s="28" t="s">
        <v>258</v>
      </c>
      <c r="D64" s="49"/>
      <c r="E64" s="49"/>
      <c r="F64" s="312">
        <f>1/3</f>
        <v>0.33333333333333331</v>
      </c>
      <c r="G64" s="293"/>
      <c r="H64" s="602"/>
      <c r="I64" s="35"/>
    </row>
    <row r="65" spans="2:9" hidden="1" outlineLevel="1" x14ac:dyDescent="0.2">
      <c r="B65" s="33"/>
      <c r="C65" s="28" t="s">
        <v>259</v>
      </c>
      <c r="D65" s="49"/>
      <c r="E65" s="49"/>
      <c r="F65" s="312">
        <f>1/3</f>
        <v>0.33333333333333331</v>
      </c>
      <c r="G65" s="293"/>
      <c r="H65" s="602"/>
      <c r="I65" s="35"/>
    </row>
    <row r="66" spans="2:9" hidden="1" outlineLevel="1" x14ac:dyDescent="0.2">
      <c r="B66" s="33"/>
      <c r="C66" s="294"/>
      <c r="D66" s="295"/>
      <c r="E66" s="295"/>
      <c r="F66" s="296"/>
      <c r="G66" s="296"/>
      <c r="H66" s="297"/>
      <c r="I66" s="35"/>
    </row>
    <row r="67" spans="2:9" hidden="1" outlineLevel="1" x14ac:dyDescent="0.2">
      <c r="B67" s="33"/>
      <c r="C67" s="31"/>
      <c r="D67" s="49"/>
      <c r="E67" s="49"/>
      <c r="F67" s="293"/>
      <c r="G67" s="293"/>
      <c r="H67" s="523"/>
      <c r="I67" s="35"/>
    </row>
    <row r="68" spans="2:9" hidden="1" outlineLevel="1" x14ac:dyDescent="0.2">
      <c r="B68" s="33"/>
      <c r="C68" s="31"/>
      <c r="D68" s="49"/>
      <c r="E68" s="49"/>
      <c r="F68" s="293"/>
      <c r="G68" s="293"/>
      <c r="H68" s="525"/>
      <c r="I68" s="35"/>
    </row>
    <row r="69" spans="2:9" ht="16.5" hidden="1" outlineLevel="1" x14ac:dyDescent="0.2">
      <c r="B69" s="33"/>
      <c r="C69" s="524" t="s">
        <v>260</v>
      </c>
      <c r="D69" s="49"/>
      <c r="E69" s="49"/>
      <c r="G69" s="293"/>
      <c r="H69" s="525" t="s">
        <v>261</v>
      </c>
      <c r="I69" s="35"/>
    </row>
    <row r="70" spans="2:9" hidden="1" outlineLevel="1" x14ac:dyDescent="0.2">
      <c r="B70" s="33"/>
      <c r="C70" s="31" t="s">
        <v>262</v>
      </c>
      <c r="D70" s="49"/>
      <c r="E70" s="49"/>
      <c r="G70" s="293"/>
      <c r="H70" s="602"/>
      <c r="I70" s="35"/>
    </row>
    <row r="71" spans="2:9" hidden="1" outlineLevel="1" x14ac:dyDescent="0.2">
      <c r="B71" s="33"/>
      <c r="C71" s="31" t="s">
        <v>263</v>
      </c>
      <c r="D71" s="49"/>
      <c r="E71" s="49"/>
      <c r="G71" s="293"/>
      <c r="H71" s="602"/>
      <c r="I71" s="35"/>
    </row>
    <row r="72" spans="2:9" hidden="1" outlineLevel="1" x14ac:dyDescent="0.2">
      <c r="B72" s="33"/>
      <c r="C72" s="31" t="s">
        <v>264</v>
      </c>
      <c r="D72" s="49"/>
      <c r="E72" s="49"/>
      <c r="G72" s="293"/>
      <c r="H72" s="602"/>
      <c r="I72" s="35"/>
    </row>
    <row r="73" spans="2:9" hidden="1" outlineLevel="1" x14ac:dyDescent="0.2">
      <c r="B73" s="33"/>
      <c r="C73" s="31" t="s">
        <v>265</v>
      </c>
      <c r="D73" s="49"/>
      <c r="E73" s="49"/>
      <c r="F73" s="293"/>
      <c r="G73" s="293"/>
      <c r="H73" s="602"/>
      <c r="I73" s="35"/>
    </row>
    <row r="74" spans="2:9" hidden="1" outlineLevel="1" x14ac:dyDescent="0.2">
      <c r="B74" s="33"/>
      <c r="C74" s="31"/>
      <c r="D74" s="49"/>
      <c r="E74" s="49"/>
      <c r="F74" s="293"/>
      <c r="G74" s="293"/>
      <c r="H74" s="523"/>
      <c r="I74" s="35"/>
    </row>
    <row r="75" spans="2:9" ht="25.5" hidden="1" outlineLevel="1" x14ac:dyDescent="0.2">
      <c r="B75" s="33"/>
      <c r="C75" s="31"/>
      <c r="D75" s="49"/>
      <c r="E75" s="49"/>
      <c r="F75" s="311" t="s">
        <v>255</v>
      </c>
      <c r="G75" s="293"/>
      <c r="H75" s="525" t="s">
        <v>266</v>
      </c>
      <c r="I75" s="35"/>
    </row>
    <row r="76" spans="2:9" hidden="1" outlineLevel="1" x14ac:dyDescent="0.2">
      <c r="B76" s="33"/>
      <c r="C76" s="31" t="str">
        <f>C70</f>
        <v>Using EV/EBITDA Multiple for EV (th€)</v>
      </c>
      <c r="D76" s="49"/>
      <c r="E76" s="49"/>
      <c r="F76" s="312">
        <f>F63</f>
        <v>0.33333333333333331</v>
      </c>
      <c r="G76" s="293"/>
      <c r="H76" s="602"/>
      <c r="I76" s="35"/>
    </row>
    <row r="77" spans="2:9" hidden="1" outlineLevel="1" x14ac:dyDescent="0.2">
      <c r="B77" s="33"/>
      <c r="C77" s="31" t="str">
        <f t="shared" ref="C77:C78" si="4">C71</f>
        <v>Using EV/EBIT Multiple for EV (th€)</v>
      </c>
      <c r="D77" s="49"/>
      <c r="E77" s="49"/>
      <c r="F77" s="312">
        <f>F64</f>
        <v>0.33333333333333331</v>
      </c>
      <c r="G77" s="293"/>
      <c r="H77" s="602"/>
      <c r="I77" s="35"/>
    </row>
    <row r="78" spans="2:9" hidden="1" outlineLevel="1" x14ac:dyDescent="0.2">
      <c r="B78" s="33"/>
      <c r="C78" s="31" t="str">
        <f t="shared" si="4"/>
        <v>Using EV/Sales Multiple for EV (th€)</v>
      </c>
      <c r="D78" s="49"/>
      <c r="E78" s="49"/>
      <c r="F78" s="312">
        <f>F65</f>
        <v>0.33333333333333331</v>
      </c>
      <c r="G78" s="293"/>
      <c r="H78" s="602"/>
      <c r="I78" s="35"/>
    </row>
    <row r="79" spans="2:9" hidden="1" outlineLevel="1" x14ac:dyDescent="0.2">
      <c r="B79" s="30"/>
      <c r="C79" s="748" t="s">
        <v>267</v>
      </c>
      <c r="D79" s="748"/>
      <c r="E79" s="298"/>
      <c r="F79" s="298"/>
      <c r="G79" s="298"/>
      <c r="H79" s="297"/>
      <c r="I79" s="32"/>
    </row>
    <row r="80" spans="2:9" ht="13.5" hidden="1" outlineLevel="1" thickBot="1" x14ac:dyDescent="0.25">
      <c r="B80" s="40"/>
      <c r="C80" s="41"/>
      <c r="D80" s="54"/>
      <c r="E80" s="54"/>
      <c r="F80" s="54"/>
      <c r="G80" s="54"/>
      <c r="H80" s="134"/>
      <c r="I80" s="43"/>
    </row>
    <row r="81" spans="1:16" hidden="1" outlineLevel="1" x14ac:dyDescent="0.2">
      <c r="B81" s="44"/>
      <c r="C81" s="38"/>
      <c r="D81" s="526"/>
      <c r="E81" s="526"/>
      <c r="F81" s="526"/>
      <c r="G81" s="526"/>
      <c r="H81" s="527"/>
      <c r="I81" s="44"/>
    </row>
    <row r="82" spans="1:16" hidden="1" outlineLevel="1" x14ac:dyDescent="0.2">
      <c r="B82" s="38"/>
      <c r="C82" s="38"/>
      <c r="D82" s="526"/>
      <c r="E82" s="526"/>
      <c r="F82" s="526"/>
      <c r="G82" s="526"/>
      <c r="H82" s="527"/>
      <c r="I82" s="44"/>
    </row>
    <row r="83" spans="1:16" hidden="1" outlineLevel="1" x14ac:dyDescent="0.2">
      <c r="B83" s="44"/>
      <c r="C83" s="38"/>
      <c r="D83" s="526"/>
      <c r="E83" s="526"/>
      <c r="F83" s="526"/>
      <c r="G83" s="526"/>
      <c r="H83" s="527"/>
      <c r="I83" s="44"/>
    </row>
    <row r="84" spans="1:16" hidden="1" outlineLevel="1" x14ac:dyDescent="0.2">
      <c r="B84" s="5"/>
      <c r="C84" s="5"/>
      <c r="D84" s="47"/>
      <c r="E84" s="47"/>
      <c r="F84" s="47"/>
      <c r="G84" s="47"/>
    </row>
    <row r="85" spans="1:16" collapsed="1" x14ac:dyDescent="0.2">
      <c r="A85" s="18"/>
      <c r="B85" s="5"/>
      <c r="C85" s="5"/>
    </row>
    <row r="86" spans="1:16" x14ac:dyDescent="0.2">
      <c r="A86" s="55"/>
      <c r="B86" s="5"/>
      <c r="C86" s="5"/>
    </row>
    <row r="87" spans="1:16" s="9" customFormat="1" ht="18" x14ac:dyDescent="0.25">
      <c r="B87" s="302"/>
      <c r="C87" s="303" t="s">
        <v>268</v>
      </c>
      <c r="D87" s="302"/>
      <c r="E87" s="302"/>
      <c r="F87" s="302"/>
      <c r="G87" s="302"/>
      <c r="H87" s="302"/>
      <c r="I87" s="302"/>
      <c r="J87" s="302"/>
      <c r="K87" s="302"/>
    </row>
    <row r="88" spans="1:16" hidden="1" outlineLevel="1" x14ac:dyDescent="0.2">
      <c r="A88" s="5"/>
      <c r="B88" s="5"/>
      <c r="C88" s="5"/>
    </row>
    <row r="89" spans="1:16" hidden="1" outlineLevel="1" x14ac:dyDescent="0.2">
      <c r="A89" s="5"/>
      <c r="B89" s="5"/>
      <c r="C89" s="5"/>
    </row>
    <row r="90" spans="1:16" hidden="1" outlineLevel="1" x14ac:dyDescent="0.2">
      <c r="A90" s="5"/>
      <c r="B90" s="5"/>
      <c r="C90" s="5"/>
    </row>
    <row r="91" spans="1:16" hidden="1" outlineLevel="1" x14ac:dyDescent="0.2">
      <c r="A91" s="5"/>
      <c r="B91" s="5"/>
      <c r="C91" s="5"/>
    </row>
    <row r="92" spans="1:16" hidden="1" outlineLevel="1" x14ac:dyDescent="0.2">
      <c r="A92" s="5"/>
      <c r="B92" s="5"/>
      <c r="C92" s="5"/>
    </row>
    <row r="93" spans="1:16" hidden="1" outlineLevel="1" x14ac:dyDescent="0.2">
      <c r="A93" s="5"/>
      <c r="B93" s="5"/>
      <c r="C93" s="5"/>
    </row>
    <row r="94" spans="1:16" hidden="1" outlineLevel="1" x14ac:dyDescent="0.2">
      <c r="A94" s="5"/>
      <c r="B94" s="5"/>
      <c r="C94" s="5"/>
    </row>
    <row r="95" spans="1:16" ht="15.75" hidden="1" outlineLevel="1" x14ac:dyDescent="0.25">
      <c r="A95" s="17">
        <v>1</v>
      </c>
      <c r="B95" s="304" t="s">
        <v>269</v>
      </c>
      <c r="C95" s="305"/>
      <c r="D95" s="305"/>
      <c r="E95" s="305"/>
      <c r="F95" s="306"/>
      <c r="G95" s="305"/>
      <c r="H95" s="305"/>
      <c r="I95" s="305"/>
      <c r="J95" s="305"/>
      <c r="K95" s="305"/>
      <c r="L95" s="305"/>
      <c r="M95" s="305"/>
      <c r="N95" s="305"/>
      <c r="O95" s="305"/>
      <c r="P95" s="305"/>
    </row>
    <row r="96" spans="1:16" ht="13.5" hidden="1" outlineLevel="1" thickBot="1" x14ac:dyDescent="0.25">
      <c r="A96" s="20"/>
      <c r="B96" s="21"/>
      <c r="C96" s="18"/>
      <c r="D96" s="18"/>
      <c r="E96" s="18"/>
      <c r="F96" s="22"/>
      <c r="G96" s="18"/>
      <c r="H96" s="18"/>
      <c r="I96" s="18"/>
      <c r="J96" s="18"/>
      <c r="K96" s="19"/>
    </row>
    <row r="97" spans="1:16" hidden="1" outlineLevel="1" x14ac:dyDescent="0.2">
      <c r="A97" s="20"/>
      <c r="B97" s="21"/>
      <c r="C97" s="23"/>
      <c r="D97" s="24"/>
      <c r="E97" s="25"/>
      <c r="F97" s="25"/>
      <c r="G97" s="25"/>
      <c r="H97" s="25"/>
      <c r="I97" s="26"/>
      <c r="J97" s="18"/>
      <c r="K97" s="19"/>
    </row>
    <row r="98" spans="1:16" ht="25.5" hidden="1" outlineLevel="1" x14ac:dyDescent="0.2">
      <c r="A98" s="20"/>
      <c r="B98" s="21"/>
      <c r="C98" s="27"/>
      <c r="D98" s="285" t="s">
        <v>270</v>
      </c>
      <c r="E98" s="592" t="str">
        <f>'1-Cockpit&amp;assumptions'!E208</f>
        <v>Competitor 1: Anheuser-Busch InBev</v>
      </c>
      <c r="F98" s="592" t="str">
        <f>'1-Cockpit&amp;assumptions'!F208</f>
        <v>Competitor 2: Heineken.</v>
      </c>
      <c r="G98" s="592" t="str">
        <f>'1-Cockpit&amp;assumptions'!G208</f>
        <v>Competitor 3: Carlsberg</v>
      </c>
      <c r="H98" s="592" t="s">
        <v>271</v>
      </c>
      <c r="I98" s="29"/>
      <c r="J98" s="18"/>
      <c r="K98" s="19"/>
    </row>
    <row r="99" spans="1:16" hidden="1" outlineLevel="1" x14ac:dyDescent="0.2">
      <c r="A99" s="20"/>
      <c r="B99" s="21"/>
      <c r="C99" s="30"/>
      <c r="D99" s="593" t="str">
        <f>'1-Cockpit&amp;assumptions'!C209</f>
        <v>Stock price €</v>
      </c>
      <c r="E99" s="286">
        <f>'1-Cockpit&amp;assumptions'!E209</f>
        <v>9</v>
      </c>
      <c r="F99" s="286">
        <f>'1-Cockpit&amp;assumptions'!F209</f>
        <v>18</v>
      </c>
      <c r="G99" s="286">
        <f>'1-Cockpit&amp;assumptions'!G209</f>
        <v>24</v>
      </c>
      <c r="H99" s="627" t="s">
        <v>272</v>
      </c>
      <c r="I99" s="32"/>
      <c r="J99" s="140"/>
      <c r="K99" s="19"/>
    </row>
    <row r="100" spans="1:16" hidden="1" outlineLevel="1" x14ac:dyDescent="0.2">
      <c r="A100" s="20"/>
      <c r="B100" s="21"/>
      <c r="C100" s="30"/>
      <c r="D100" s="593" t="str">
        <f>'1-Cockpit&amp;assumptions'!C210</f>
        <v>Book Value m€</v>
      </c>
      <c r="E100" s="286">
        <f>'1-Cockpit&amp;assumptions'!E210</f>
        <v>350</v>
      </c>
      <c r="F100" s="286">
        <f>'1-Cockpit&amp;assumptions'!F210</f>
        <v>300</v>
      </c>
      <c r="G100" s="286">
        <f>'1-Cockpit&amp;assumptions'!G210</f>
        <v>350</v>
      </c>
      <c r="H100" s="601">
        <f>'1-Cockpit&amp;assumptions'!E105</f>
        <v>70</v>
      </c>
      <c r="I100" s="32"/>
      <c r="J100" s="140"/>
      <c r="K100" s="19"/>
    </row>
    <row r="101" spans="1:16" hidden="1" outlineLevel="1" x14ac:dyDescent="0.2">
      <c r="A101" s="20"/>
      <c r="B101" s="21"/>
      <c r="C101" s="30"/>
      <c r="D101" s="593" t="str">
        <f>'1-Cockpit&amp;assumptions'!C211</f>
        <v># shares ('000 000)</v>
      </c>
      <c r="E101" s="286">
        <f>'1-Cockpit&amp;assumptions'!E211</f>
        <v>110</v>
      </c>
      <c r="F101" s="286">
        <f>'1-Cockpit&amp;assumptions'!F211</f>
        <v>210</v>
      </c>
      <c r="G101" s="286">
        <f>'1-Cockpit&amp;assumptions'!G211</f>
        <v>290</v>
      </c>
      <c r="H101" s="601">
        <f>'1-Cockpit&amp;assumptions'!E122/1000</f>
        <v>3</v>
      </c>
      <c r="I101" s="32"/>
      <c r="J101" s="140"/>
      <c r="K101" s="19"/>
    </row>
    <row r="102" spans="1:16" hidden="1" outlineLevel="1" x14ac:dyDescent="0.2">
      <c r="A102" s="20"/>
      <c r="B102" s="21"/>
      <c r="C102" s="30"/>
      <c r="D102" s="593" t="str">
        <f>'1-Cockpit&amp;assumptions'!C212</f>
        <v>Net debt m€</v>
      </c>
      <c r="E102" s="286">
        <f>'1-Cockpit&amp;assumptions'!E212</f>
        <v>350</v>
      </c>
      <c r="F102" s="286">
        <f>'1-Cockpit&amp;assumptions'!F212</f>
        <v>450</v>
      </c>
      <c r="G102" s="286">
        <f>'1-Cockpit&amp;assumptions'!G212</f>
        <v>550</v>
      </c>
      <c r="H102" s="601">
        <f>'1-Cockpit&amp;assumptions'!E104</f>
        <v>150</v>
      </c>
      <c r="I102" s="32"/>
      <c r="J102" s="140"/>
      <c r="K102" s="19"/>
    </row>
    <row r="103" spans="1:16" hidden="1" outlineLevel="1" x14ac:dyDescent="0.2">
      <c r="A103" s="20"/>
      <c r="B103" s="21"/>
      <c r="C103" s="30"/>
      <c r="D103" s="593" t="str">
        <f>'1-Cockpit&amp;assumptions'!C213</f>
        <v>Sales m€</v>
      </c>
      <c r="E103" s="286">
        <f>'1-Cockpit&amp;assumptions'!E213</f>
        <v>700</v>
      </c>
      <c r="F103" s="286">
        <f>'1-Cockpit&amp;assumptions'!F213</f>
        <v>1100</v>
      </c>
      <c r="G103" s="286">
        <f>'1-Cockpit&amp;assumptions'!G213</f>
        <v>1300</v>
      </c>
      <c r="H103" s="601">
        <f>'1-Cockpit&amp;assumptions'!E110</f>
        <v>170</v>
      </c>
      <c r="I103" s="32"/>
      <c r="J103" s="140"/>
      <c r="K103" s="19"/>
    </row>
    <row r="104" spans="1:16" hidden="1" outlineLevel="1" x14ac:dyDescent="0.2">
      <c r="A104" s="20"/>
      <c r="B104" s="21"/>
      <c r="C104" s="30"/>
      <c r="D104" s="593" t="str">
        <f>'1-Cockpit&amp;assumptions'!C214</f>
        <v>EBITDA m€</v>
      </c>
      <c r="E104" s="286">
        <f>'1-Cockpit&amp;assumptions'!E214</f>
        <v>230</v>
      </c>
      <c r="F104" s="286">
        <f>'1-Cockpit&amp;assumptions'!F214</f>
        <v>490</v>
      </c>
      <c r="G104" s="286">
        <f>'1-Cockpit&amp;assumptions'!G214</f>
        <v>600</v>
      </c>
      <c r="H104" s="601">
        <f>'1-Cockpit&amp;assumptions'!E112*'1-Cockpit&amp;assumptions'!E110</f>
        <v>76.5</v>
      </c>
      <c r="I104" s="32"/>
      <c r="J104" s="140"/>
      <c r="K104" s="19"/>
    </row>
    <row r="105" spans="1:16" hidden="1" outlineLevel="1" x14ac:dyDescent="0.2">
      <c r="A105" s="20"/>
      <c r="B105" s="21"/>
      <c r="C105" s="30"/>
      <c r="D105" s="593" t="str">
        <f>'1-Cockpit&amp;assumptions'!C215</f>
        <v>EBIT m€</v>
      </c>
      <c r="E105" s="286">
        <f>'1-Cockpit&amp;assumptions'!E215</f>
        <v>155</v>
      </c>
      <c r="F105" s="286">
        <f>'1-Cockpit&amp;assumptions'!F215</f>
        <v>350</v>
      </c>
      <c r="G105" s="286">
        <f>'1-Cockpit&amp;assumptions'!G215</f>
        <v>450</v>
      </c>
      <c r="H105" s="601">
        <f>'1-Cockpit&amp;assumptions'!E94</f>
        <v>58.5</v>
      </c>
      <c r="I105" s="32"/>
      <c r="J105" s="140"/>
      <c r="K105" s="19"/>
    </row>
    <row r="106" spans="1:16" hidden="1" outlineLevel="1" x14ac:dyDescent="0.2">
      <c r="A106" s="20"/>
      <c r="B106" s="21"/>
      <c r="C106" s="30"/>
      <c r="D106" s="593" t="str">
        <f>'1-Cockpit&amp;assumptions'!C216</f>
        <v>Net earnings m€</v>
      </c>
      <c r="E106" s="286">
        <f>'1-Cockpit&amp;assumptions'!E216</f>
        <v>87</v>
      </c>
      <c r="F106" s="286">
        <f>'1-Cockpit&amp;assumptions'!F216</f>
        <v>135</v>
      </c>
      <c r="G106" s="286">
        <f>'1-Cockpit&amp;assumptions'!G216</f>
        <v>345</v>
      </c>
      <c r="H106" s="601">
        <f>'1-Cockpit&amp;assumptions'!E98</f>
        <v>38.8125</v>
      </c>
      <c r="I106" s="32"/>
      <c r="J106" s="140"/>
      <c r="K106" s="19"/>
    </row>
    <row r="107" spans="1:16" hidden="1" outlineLevel="1" x14ac:dyDescent="0.2">
      <c r="A107" s="20"/>
      <c r="B107" s="21"/>
      <c r="C107" s="30"/>
      <c r="D107" s="593" t="s">
        <v>273</v>
      </c>
      <c r="E107" s="601">
        <f>'1-Cockpit&amp;assumptions'!E210/'1-Cockpit&amp;assumptions'!E211</f>
        <v>3.1818181818181817</v>
      </c>
      <c r="F107" s="601">
        <f>'1-Cockpit&amp;assumptions'!F210/'1-Cockpit&amp;assumptions'!F211</f>
        <v>1.4285714285714286</v>
      </c>
      <c r="G107" s="601">
        <f>'1-Cockpit&amp;assumptions'!G210/'1-Cockpit&amp;assumptions'!G211</f>
        <v>1.2068965517241379</v>
      </c>
      <c r="H107" s="601" t="e">
        <f>G26/G28</f>
        <v>#DIV/0!</v>
      </c>
      <c r="I107" s="32"/>
      <c r="J107" s="140"/>
      <c r="K107" s="19"/>
    </row>
    <row r="108" spans="1:16" hidden="1" outlineLevel="1" x14ac:dyDescent="0.2">
      <c r="A108" s="20"/>
      <c r="B108" s="21"/>
      <c r="C108" s="33"/>
      <c r="D108" s="285" t="s">
        <v>26</v>
      </c>
      <c r="E108" s="615">
        <f>'1-Cockpit&amp;assumptions'!E216/'1-Cockpit&amp;assumptions'!E211</f>
        <v>0.79090909090909089</v>
      </c>
      <c r="F108" s="615">
        <f>'1-Cockpit&amp;assumptions'!F216/'1-Cockpit&amp;assumptions'!F211</f>
        <v>0.6428571428571429</v>
      </c>
      <c r="G108" s="615">
        <f>'1-Cockpit&amp;assumptions'!G216/'1-Cockpit&amp;assumptions'!G211</f>
        <v>1.1896551724137931</v>
      </c>
      <c r="H108" s="615" t="e">
        <f>G25/G28</f>
        <v>#DIV/0!</v>
      </c>
      <c r="I108" s="35"/>
      <c r="J108" s="19"/>
      <c r="K108" s="19"/>
    </row>
    <row r="109" spans="1:16" hidden="1" outlineLevel="1" x14ac:dyDescent="0.2">
      <c r="A109" s="20"/>
      <c r="B109" s="21"/>
      <c r="C109" s="33"/>
      <c r="D109" s="285" t="s">
        <v>274</v>
      </c>
      <c r="E109" s="616">
        <f>(E99*E101)+E102</f>
        <v>1340</v>
      </c>
      <c r="F109" s="616">
        <f t="shared" ref="F109:G109" si="5">(F99*F101)+F102</f>
        <v>4230</v>
      </c>
      <c r="G109" s="616">
        <f t="shared" si="5"/>
        <v>7510</v>
      </c>
      <c r="H109" s="626"/>
      <c r="I109" s="35"/>
      <c r="J109" s="19"/>
      <c r="K109" s="19"/>
    </row>
    <row r="110" spans="1:16" ht="13.5" hidden="1" outlineLevel="1" thickBot="1" x14ac:dyDescent="0.25">
      <c r="A110" s="20"/>
      <c r="B110" s="21"/>
      <c r="C110" s="40"/>
      <c r="D110" s="41"/>
      <c r="E110" s="42"/>
      <c r="F110" s="42"/>
      <c r="G110" s="42"/>
      <c r="H110" s="42"/>
      <c r="I110" s="43"/>
      <c r="J110" s="19"/>
      <c r="K110" s="19"/>
    </row>
    <row r="111" spans="1:16" hidden="1" outlineLevel="1" x14ac:dyDescent="0.2">
      <c r="A111" s="20"/>
      <c r="B111" s="21"/>
      <c r="C111" s="18"/>
      <c r="D111" s="18"/>
      <c r="E111" s="18"/>
      <c r="F111" s="22"/>
      <c r="G111" s="18"/>
      <c r="H111" s="18"/>
      <c r="I111" s="18"/>
      <c r="J111" s="18"/>
    </row>
    <row r="112" spans="1:16" s="1" customFormat="1" hidden="1" outlineLevel="1" x14ac:dyDescent="0.2">
      <c r="A112" s="313">
        <v>2</v>
      </c>
      <c r="B112" s="225" t="s">
        <v>241</v>
      </c>
      <c r="C112" s="225"/>
      <c r="D112" s="225"/>
      <c r="E112" s="225"/>
      <c r="F112" s="217"/>
      <c r="G112" s="225"/>
      <c r="H112" s="225"/>
      <c r="I112" s="225"/>
      <c r="J112" s="225"/>
      <c r="K112" s="225"/>
      <c r="L112" s="225"/>
      <c r="M112" s="225"/>
      <c r="N112" s="225"/>
      <c r="O112" s="225"/>
      <c r="P112" s="225"/>
    </row>
    <row r="113" spans="1:16" s="1" customFormat="1" hidden="1" outlineLevel="1" x14ac:dyDescent="0.2">
      <c r="A113" s="313">
        <v>3</v>
      </c>
      <c r="B113" s="225" t="s">
        <v>251</v>
      </c>
      <c r="C113" s="225"/>
      <c r="D113" s="225"/>
      <c r="E113" s="225"/>
      <c r="F113" s="217"/>
      <c r="G113" s="225"/>
      <c r="H113" s="225"/>
      <c r="I113" s="225"/>
      <c r="J113" s="225"/>
      <c r="K113" s="225"/>
      <c r="L113" s="225"/>
      <c r="M113" s="225"/>
      <c r="N113" s="225"/>
      <c r="O113" s="225"/>
      <c r="P113" s="225"/>
    </row>
    <row r="114" spans="1:16" ht="13.5" hidden="1" outlineLevel="1" thickBot="1" x14ac:dyDescent="0.25">
      <c r="A114" s="5"/>
      <c r="B114" s="5"/>
      <c r="C114" s="5"/>
      <c r="J114" s="44"/>
    </row>
    <row r="115" spans="1:16" hidden="1" outlineLevel="1" x14ac:dyDescent="0.2">
      <c r="A115" s="5"/>
      <c r="B115" s="5"/>
      <c r="C115" s="23"/>
      <c r="D115" s="24"/>
      <c r="E115" s="25"/>
      <c r="F115" s="25"/>
      <c r="G115" s="25"/>
      <c r="H115" s="25"/>
      <c r="I115" s="26"/>
      <c r="J115" s="44"/>
    </row>
    <row r="116" spans="1:16" ht="25.5" hidden="1" outlineLevel="1" x14ac:dyDescent="0.2">
      <c r="A116" s="5"/>
      <c r="B116" s="5"/>
      <c r="C116" s="33"/>
      <c r="D116" s="28" t="s">
        <v>275</v>
      </c>
      <c r="E116" s="143" t="str">
        <f>E98</f>
        <v>Competitor 1: Anheuser-Busch InBev</v>
      </c>
      <c r="F116" s="143" t="str">
        <f>F98</f>
        <v>Competitor 2: Heineken.</v>
      </c>
      <c r="G116" s="143" t="str">
        <f>G98</f>
        <v>Competitor 3: Carlsberg</v>
      </c>
      <c r="H116" s="143" t="s">
        <v>276</v>
      </c>
      <c r="I116" s="35"/>
      <c r="J116" s="44"/>
    </row>
    <row r="117" spans="1:16" hidden="1" outlineLevel="1" x14ac:dyDescent="0.2">
      <c r="A117" s="5"/>
      <c r="B117" s="5"/>
      <c r="C117" s="33"/>
      <c r="D117" s="28" t="s">
        <v>245</v>
      </c>
      <c r="E117" s="615"/>
      <c r="F117" s="615"/>
      <c r="G117" s="615"/>
      <c r="H117" s="617"/>
      <c r="I117" s="35"/>
      <c r="J117" s="142"/>
      <c r="K117" s="139"/>
    </row>
    <row r="118" spans="1:16" hidden="1" outlineLevel="1" x14ac:dyDescent="0.2">
      <c r="A118" s="5"/>
      <c r="B118" s="5"/>
      <c r="C118" s="33"/>
      <c r="D118" s="28" t="s">
        <v>277</v>
      </c>
      <c r="E118" s="615"/>
      <c r="F118" s="615"/>
      <c r="G118" s="615"/>
      <c r="H118" s="617"/>
      <c r="I118" s="35"/>
      <c r="J118" s="142"/>
      <c r="K118" s="139"/>
    </row>
    <row r="119" spans="1:16" hidden="1" outlineLevel="1" x14ac:dyDescent="0.2">
      <c r="A119" s="5"/>
      <c r="B119" s="5"/>
      <c r="C119" s="33"/>
      <c r="D119" s="28" t="s">
        <v>248</v>
      </c>
      <c r="E119" s="615"/>
      <c r="F119" s="615"/>
      <c r="G119" s="615"/>
      <c r="H119" s="617"/>
      <c r="I119" s="35"/>
      <c r="J119" s="142"/>
      <c r="K119" s="139"/>
    </row>
    <row r="120" spans="1:16" hidden="1" outlineLevel="1" x14ac:dyDescent="0.2">
      <c r="A120" s="5"/>
      <c r="B120" s="5"/>
      <c r="C120" s="33"/>
      <c r="D120" s="28" t="s">
        <v>278</v>
      </c>
      <c r="E120" s="615"/>
      <c r="F120" s="615"/>
      <c r="G120" s="615"/>
      <c r="H120" s="617"/>
      <c r="I120" s="35"/>
      <c r="J120" s="142"/>
      <c r="K120" s="139"/>
    </row>
    <row r="121" spans="1:16" hidden="1" outlineLevel="1" x14ac:dyDescent="0.2">
      <c r="A121" s="5"/>
      <c r="B121" s="5"/>
      <c r="C121" s="33"/>
      <c r="D121" s="28" t="s">
        <v>247</v>
      </c>
      <c r="E121" s="615"/>
      <c r="F121" s="615"/>
      <c r="G121" s="615"/>
      <c r="H121" s="617"/>
      <c r="I121" s="35"/>
      <c r="J121" s="142"/>
      <c r="K121" s="139"/>
    </row>
    <row r="122" spans="1:16" ht="13.5" hidden="1" outlineLevel="1" thickBot="1" x14ac:dyDescent="0.25">
      <c r="A122" s="5"/>
      <c r="B122" s="5"/>
      <c r="C122" s="40"/>
      <c r="D122" s="41"/>
      <c r="E122" s="42"/>
      <c r="F122" s="42"/>
      <c r="G122" s="42"/>
      <c r="H122" s="42"/>
      <c r="I122" s="43"/>
    </row>
    <row r="123" spans="1:16" ht="13.5" hidden="1" outlineLevel="1" thickBot="1" x14ac:dyDescent="0.25">
      <c r="A123" s="5"/>
      <c r="B123" s="3"/>
      <c r="C123" s="5"/>
      <c r="D123" s="1"/>
      <c r="G123" s="44"/>
      <c r="H123" s="44"/>
      <c r="I123" s="44"/>
      <c r="J123" s="44"/>
    </row>
    <row r="124" spans="1:16" hidden="1" outlineLevel="1" x14ac:dyDescent="0.2">
      <c r="A124" s="5"/>
      <c r="B124" s="3"/>
      <c r="C124" s="23"/>
      <c r="D124" s="24"/>
      <c r="E124" s="24"/>
      <c r="F124" s="24"/>
      <c r="G124" s="24"/>
      <c r="H124" s="25"/>
      <c r="I124" s="25"/>
      <c r="J124" s="26"/>
      <c r="K124" s="44"/>
    </row>
    <row r="125" spans="1:16" ht="63.75" hidden="1" outlineLevel="1" x14ac:dyDescent="0.2">
      <c r="A125" s="5"/>
      <c r="B125" s="3"/>
      <c r="C125" s="33"/>
      <c r="D125" s="31" t="s">
        <v>279</v>
      </c>
      <c r="E125" s="31"/>
      <c r="F125" s="49"/>
      <c r="G125" s="31"/>
      <c r="H125" s="49" t="s">
        <v>266</v>
      </c>
      <c r="I125" s="49" t="s">
        <v>280</v>
      </c>
      <c r="J125" s="35"/>
      <c r="K125" s="44"/>
    </row>
    <row r="126" spans="1:16" hidden="1" outlineLevel="1" x14ac:dyDescent="0.2">
      <c r="A126" s="5"/>
      <c r="B126" s="3"/>
      <c r="C126" s="33"/>
      <c r="D126" s="28" t="s">
        <v>281</v>
      </c>
      <c r="E126" s="28"/>
      <c r="F126" s="137"/>
      <c r="G126" s="28"/>
      <c r="H126" s="617"/>
      <c r="I126" s="617"/>
      <c r="J126" s="35"/>
      <c r="K126" s="44"/>
    </row>
    <row r="127" spans="1:16" hidden="1" outlineLevel="1" x14ac:dyDescent="0.2">
      <c r="A127" s="5"/>
      <c r="B127" s="3"/>
      <c r="C127" s="33"/>
      <c r="D127" s="28" t="s">
        <v>282</v>
      </c>
      <c r="E127" s="28"/>
      <c r="F127" s="137"/>
      <c r="G127" s="28"/>
      <c r="H127" s="617"/>
      <c r="I127" s="617"/>
      <c r="J127" s="35"/>
      <c r="K127" s="44"/>
    </row>
    <row r="128" spans="1:16" s="19" customFormat="1" hidden="1" outlineLevel="1" x14ac:dyDescent="0.2">
      <c r="B128" s="226"/>
      <c r="C128" s="717"/>
      <c r="D128" s="285" t="s">
        <v>283</v>
      </c>
      <c r="E128" s="285"/>
      <c r="F128" s="718"/>
      <c r="G128" s="285"/>
      <c r="H128" s="617"/>
      <c r="I128" s="617"/>
      <c r="J128" s="719"/>
      <c r="K128" s="55"/>
    </row>
    <row r="129" spans="1:16" hidden="1" outlineLevel="1" x14ac:dyDescent="0.2">
      <c r="A129" s="5"/>
      <c r="B129" s="3"/>
      <c r="C129" s="33"/>
      <c r="D129" s="28" t="s">
        <v>284</v>
      </c>
      <c r="E129" s="28"/>
      <c r="F129" s="137"/>
      <c r="G129" s="28"/>
      <c r="H129" s="617"/>
      <c r="I129" s="617"/>
      <c r="J129" s="35"/>
      <c r="K129" s="44"/>
    </row>
    <row r="130" spans="1:16" hidden="1" outlineLevel="1" x14ac:dyDescent="0.2">
      <c r="A130" s="5"/>
      <c r="B130" s="3"/>
      <c r="C130" s="30"/>
      <c r="D130" s="504" t="s">
        <v>285</v>
      </c>
      <c r="E130" s="31"/>
      <c r="F130" s="137"/>
      <c r="G130" s="136"/>
      <c r="H130" s="617"/>
      <c r="I130" s="617"/>
      <c r="J130" s="32"/>
      <c r="K130" s="44"/>
    </row>
    <row r="131" spans="1:16" ht="13.5" hidden="1" outlineLevel="1" thickBot="1" x14ac:dyDescent="0.25">
      <c r="A131" s="5"/>
      <c r="B131" s="3"/>
      <c r="C131" s="40"/>
      <c r="D131" s="41"/>
      <c r="E131" s="41"/>
      <c r="F131" s="41"/>
      <c r="G131" s="41"/>
      <c r="H131" s="42"/>
      <c r="I131" s="42"/>
      <c r="J131" s="43"/>
      <c r="K131" s="44"/>
    </row>
    <row r="132" spans="1:16" hidden="1" outlineLevel="1" x14ac:dyDescent="0.2">
      <c r="A132" s="5"/>
      <c r="B132" s="3"/>
      <c r="C132" s="5"/>
      <c r="D132" s="1"/>
      <c r="G132" s="44"/>
      <c r="H132" s="44"/>
      <c r="I132" s="44"/>
      <c r="J132" s="44"/>
    </row>
    <row r="133" spans="1:16" s="1" customFormat="1" hidden="1" outlineLevel="1" x14ac:dyDescent="0.2">
      <c r="A133" s="313">
        <v>4</v>
      </c>
      <c r="B133" s="225" t="s">
        <v>286</v>
      </c>
      <c r="C133" s="225"/>
      <c r="D133" s="225"/>
      <c r="E133" s="225"/>
      <c r="F133" s="217"/>
      <c r="G133" s="225"/>
      <c r="H133" s="225"/>
      <c r="I133" s="225"/>
      <c r="J133" s="225"/>
      <c r="K133" s="225"/>
      <c r="L133" s="225"/>
      <c r="M133" s="225"/>
      <c r="N133" s="225"/>
      <c r="O133" s="225"/>
      <c r="P133" s="225"/>
    </row>
    <row r="134" spans="1:16" hidden="1" outlineLevel="1" x14ac:dyDescent="0.2">
      <c r="A134" s="5"/>
      <c r="B134" s="3"/>
      <c r="C134" s="5"/>
      <c r="D134" s="1"/>
      <c r="G134" s="44"/>
      <c r="H134" s="44"/>
      <c r="I134" s="44"/>
      <c r="J134" s="44"/>
    </row>
    <row r="135" spans="1:16" ht="13.5" hidden="1" outlineLevel="1" thickBot="1" x14ac:dyDescent="0.25">
      <c r="A135" s="5"/>
      <c r="B135" s="3"/>
      <c r="C135" s="5"/>
      <c r="D135" s="1"/>
      <c r="G135" s="44"/>
      <c r="H135" s="44"/>
      <c r="I135" s="44"/>
      <c r="J135" s="44"/>
    </row>
    <row r="136" spans="1:16" hidden="1" outlineLevel="1" x14ac:dyDescent="0.2">
      <c r="A136" s="5"/>
      <c r="B136" s="3"/>
      <c r="C136" s="23"/>
      <c r="D136" s="24"/>
      <c r="E136" s="25"/>
      <c r="F136" s="25"/>
      <c r="G136" s="25"/>
      <c r="H136" s="25"/>
      <c r="I136" s="26"/>
      <c r="J136" s="44"/>
    </row>
    <row r="137" spans="1:16" ht="25.5" hidden="1" outlineLevel="1" x14ac:dyDescent="0.2">
      <c r="A137" s="5"/>
      <c r="B137" s="3"/>
      <c r="C137" s="33"/>
      <c r="D137" s="31"/>
      <c r="F137" s="49" t="s">
        <v>287</v>
      </c>
      <c r="G137" s="49" t="s">
        <v>288</v>
      </c>
      <c r="H137" s="49" t="s">
        <v>289</v>
      </c>
      <c r="I137" s="35"/>
      <c r="J137" s="44"/>
    </row>
    <row r="138" spans="1:16" hidden="1" outlineLevel="1" x14ac:dyDescent="0.2">
      <c r="A138" s="5"/>
      <c r="B138" s="3"/>
      <c r="C138" s="33"/>
      <c r="D138" s="28" t="s">
        <v>290</v>
      </c>
      <c r="F138" s="34">
        <v>20</v>
      </c>
      <c r="G138" s="34">
        <v>26.5</v>
      </c>
      <c r="H138" s="618"/>
      <c r="I138" s="35"/>
      <c r="J138" s="44"/>
    </row>
    <row r="139" spans="1:16" hidden="1" outlineLevel="1" x14ac:dyDescent="0.2">
      <c r="A139" s="5"/>
      <c r="B139" s="3"/>
      <c r="C139" s="33"/>
      <c r="D139" s="28" t="s">
        <v>291</v>
      </c>
      <c r="F139" s="34">
        <v>45</v>
      </c>
      <c r="G139" s="34">
        <v>61</v>
      </c>
      <c r="H139" s="618"/>
      <c r="I139" s="35"/>
      <c r="J139" s="44"/>
    </row>
    <row r="140" spans="1:16" hidden="1" outlineLevel="1" x14ac:dyDescent="0.2">
      <c r="A140" s="5"/>
      <c r="B140" s="3"/>
      <c r="C140" s="33"/>
      <c r="D140" s="28" t="s">
        <v>292</v>
      </c>
      <c r="F140" s="34">
        <v>86.75</v>
      </c>
      <c r="G140" s="34">
        <v>111</v>
      </c>
      <c r="H140" s="618"/>
      <c r="I140" s="35"/>
      <c r="J140" s="44"/>
    </row>
    <row r="141" spans="1:16" hidden="1" outlineLevel="1" x14ac:dyDescent="0.2">
      <c r="A141" s="5"/>
      <c r="B141" s="3"/>
      <c r="C141" s="33"/>
      <c r="D141" s="28" t="s">
        <v>293</v>
      </c>
      <c r="F141" s="34">
        <v>62</v>
      </c>
      <c r="G141" s="34">
        <v>83</v>
      </c>
      <c r="H141" s="618"/>
      <c r="I141" s="35"/>
      <c r="J141" s="52"/>
    </row>
    <row r="142" spans="1:16" hidden="1" outlineLevel="1" x14ac:dyDescent="0.2">
      <c r="A142" s="5"/>
      <c r="B142" s="3"/>
      <c r="C142" s="33"/>
      <c r="D142" s="53" t="s">
        <v>294</v>
      </c>
      <c r="F142" s="34"/>
      <c r="G142" s="34"/>
      <c r="H142" s="619"/>
      <c r="I142" s="35"/>
      <c r="J142" s="44"/>
    </row>
    <row r="143" spans="1:16" ht="13.5" hidden="1" outlineLevel="1" thickBot="1" x14ac:dyDescent="0.25">
      <c r="A143" s="5"/>
      <c r="B143" s="3"/>
      <c r="C143" s="40"/>
      <c r="D143" s="41"/>
      <c r="E143" s="42"/>
      <c r="F143" s="42"/>
      <c r="G143" s="42"/>
      <c r="H143" s="42"/>
      <c r="I143" s="43"/>
      <c r="J143" s="44"/>
    </row>
    <row r="144" spans="1:16" hidden="1" outlineLevel="1" x14ac:dyDescent="0.2">
      <c r="A144" s="5"/>
      <c r="B144" s="3"/>
      <c r="C144" s="44"/>
      <c r="D144" s="38"/>
      <c r="E144" s="44"/>
      <c r="F144" s="44"/>
      <c r="G144" s="44"/>
      <c r="H144" s="44"/>
      <c r="I144" s="44"/>
      <c r="J144" s="44"/>
    </row>
    <row r="145" spans="1:16" s="1" customFormat="1" hidden="1" outlineLevel="1" x14ac:dyDescent="0.2">
      <c r="A145" s="313">
        <v>5</v>
      </c>
      <c r="B145" s="225" t="s">
        <v>295</v>
      </c>
      <c r="C145" s="225"/>
      <c r="D145" s="225"/>
      <c r="E145" s="225"/>
      <c r="F145" s="217"/>
      <c r="G145" s="225"/>
      <c r="H145" s="225"/>
      <c r="I145" s="225"/>
      <c r="J145" s="225"/>
      <c r="K145" s="225"/>
      <c r="L145" s="225"/>
      <c r="M145" s="225"/>
      <c r="N145" s="225"/>
      <c r="O145" s="225"/>
      <c r="P145" s="225"/>
    </row>
    <row r="146" spans="1:16" hidden="1" outlineLevel="1" x14ac:dyDescent="0.2">
      <c r="A146" s="5"/>
      <c r="B146" s="3"/>
      <c r="C146" s="5"/>
    </row>
    <row r="147" spans="1:16" hidden="1" outlineLevel="1" x14ac:dyDescent="0.2">
      <c r="A147" s="5"/>
      <c r="B147" s="3"/>
      <c r="C147" s="5"/>
    </row>
    <row r="148" spans="1:16" hidden="1" outlineLevel="1" x14ac:dyDescent="0.2">
      <c r="A148" s="5"/>
      <c r="B148" s="3"/>
      <c r="C148" s="5"/>
      <c r="D148" s="317" t="s">
        <v>296</v>
      </c>
      <c r="E148" s="314"/>
      <c r="F148" s="314"/>
      <c r="G148" s="620"/>
      <c r="H148" s="315"/>
      <c r="I148" s="314"/>
    </row>
    <row r="149" spans="1:16" hidden="1" outlineLevel="1" x14ac:dyDescent="0.2">
      <c r="A149" s="5"/>
      <c r="B149" s="3"/>
      <c r="C149" s="5"/>
      <c r="D149" s="317" t="s">
        <v>297</v>
      </c>
      <c r="E149" s="314"/>
      <c r="F149" s="314"/>
      <c r="G149" s="621"/>
      <c r="H149" s="316"/>
      <c r="I149" s="314"/>
    </row>
    <row r="150" spans="1:16" hidden="1" outlineLevel="1" x14ac:dyDescent="0.2">
      <c r="A150" s="5"/>
      <c r="B150" s="3"/>
      <c r="C150" s="5"/>
      <c r="D150" s="317" t="s">
        <v>298</v>
      </c>
      <c r="E150" s="314"/>
      <c r="F150" s="314"/>
      <c r="G150" s="620"/>
      <c r="H150" s="318"/>
      <c r="I150" s="314"/>
    </row>
    <row r="151" spans="1:16" collapsed="1" x14ac:dyDescent="0.2">
      <c r="A151" s="5"/>
      <c r="B151" s="5"/>
      <c r="C151" s="5"/>
    </row>
    <row r="152" spans="1:16" x14ac:dyDescent="0.2">
      <c r="A152" s="5"/>
      <c r="B152" s="5"/>
      <c r="C152" s="5"/>
    </row>
    <row r="153" spans="1:16" x14ac:dyDescent="0.2">
      <c r="A153" s="5"/>
      <c r="B153" s="5"/>
      <c r="C153" s="5"/>
    </row>
    <row r="154" spans="1:16" x14ac:dyDescent="0.2">
      <c r="A154" s="5"/>
      <c r="B154" s="5"/>
      <c r="C154" s="5"/>
      <c r="H154" s="141"/>
    </row>
  </sheetData>
  <mergeCells count="1">
    <mergeCell ref="C79:D79"/>
  </mergeCells>
  <pageMargins left="0.7" right="0.7" top="0.75" bottom="0.75" header="0.3" footer="0.3"/>
  <pageSetup paperSize="9" orientation="portrait" horizontalDpi="4294967293" verticalDpi="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499984740745262"/>
  </sheetPr>
  <dimension ref="A1:S67"/>
  <sheetViews>
    <sheetView showGridLines="0" workbookViewId="0">
      <selection activeCell="B3" sqref="B3"/>
    </sheetView>
  </sheetViews>
  <sheetFormatPr defaultRowHeight="12.75" x14ac:dyDescent="0.2"/>
  <cols>
    <col min="1" max="1" width="2.7109375" style="319" customWidth="1"/>
    <col min="2" max="2" width="41" customWidth="1"/>
    <col min="3" max="4" width="11.42578125" style="538" customWidth="1"/>
    <col min="5" max="5" width="20" customWidth="1"/>
    <col min="6" max="6" width="12.28515625" customWidth="1"/>
    <col min="7" max="7" width="16.7109375" style="319" customWidth="1"/>
    <col min="8" max="8" width="1.140625" style="319" customWidth="1"/>
    <col min="9" max="9" width="32.28515625" customWidth="1"/>
    <col min="10" max="10" width="11.85546875" style="253" customWidth="1"/>
    <col min="11" max="18" width="13.5703125" style="253" customWidth="1"/>
  </cols>
  <sheetData>
    <row r="1" spans="2:19" s="319" customFormat="1" x14ac:dyDescent="0.2">
      <c r="C1" s="536"/>
      <c r="D1" s="536"/>
      <c r="G1" s="73"/>
      <c r="H1" s="320"/>
      <c r="I1" s="320" t="s">
        <v>299</v>
      </c>
      <c r="J1" s="478"/>
      <c r="K1" s="478"/>
      <c r="L1" s="478"/>
      <c r="M1" s="478"/>
      <c r="N1" s="478"/>
      <c r="O1" s="478"/>
      <c r="P1" s="478"/>
      <c r="Q1" s="478"/>
      <c r="R1" s="478"/>
      <c r="S1" s="320"/>
    </row>
    <row r="2" spans="2:19" s="319" customFormat="1" ht="38.25" x14ac:dyDescent="0.2">
      <c r="C2" s="536"/>
      <c r="D2" s="536"/>
      <c r="G2" s="268"/>
      <c r="J2" s="479" t="s">
        <v>300</v>
      </c>
      <c r="K2" s="479" t="s">
        <v>301</v>
      </c>
      <c r="L2" s="479" t="s">
        <v>301</v>
      </c>
      <c r="M2" s="479" t="s">
        <v>301</v>
      </c>
      <c r="N2" s="479" t="s">
        <v>301</v>
      </c>
      <c r="O2" s="479" t="s">
        <v>301</v>
      </c>
      <c r="P2" s="479" t="s">
        <v>301</v>
      </c>
      <c r="Q2" s="479" t="s">
        <v>301</v>
      </c>
      <c r="R2" s="479" t="s">
        <v>301</v>
      </c>
    </row>
    <row r="3" spans="2:19" x14ac:dyDescent="0.2">
      <c r="B3" s="230" t="s">
        <v>302</v>
      </c>
      <c r="C3" s="537">
        <f>'1-Cockpit&amp;assumptions'!E86</f>
        <v>2024</v>
      </c>
      <c r="D3" s="537">
        <f>C3</f>
        <v>2024</v>
      </c>
      <c r="E3" s="537">
        <f>D3</f>
        <v>2024</v>
      </c>
      <c r="F3" s="537">
        <f>E3</f>
        <v>2024</v>
      </c>
      <c r="G3" s="268"/>
      <c r="I3" s="319"/>
      <c r="J3" s="478">
        <f>'1-Cockpit&amp;assumptions'!E86</f>
        <v>2024</v>
      </c>
      <c r="K3" s="480">
        <f>J3+1</f>
        <v>2025</v>
      </c>
      <c r="L3" s="480">
        <f t="shared" ref="L3:R3" si="0">K3+1</f>
        <v>2026</v>
      </c>
      <c r="M3" s="480">
        <f t="shared" si="0"/>
        <v>2027</v>
      </c>
      <c r="N3" s="480">
        <f t="shared" si="0"/>
        <v>2028</v>
      </c>
      <c r="O3" s="480">
        <f t="shared" si="0"/>
        <v>2029</v>
      </c>
      <c r="P3" s="480">
        <f t="shared" si="0"/>
        <v>2030</v>
      </c>
      <c r="Q3" s="480">
        <f t="shared" si="0"/>
        <v>2031</v>
      </c>
      <c r="R3" s="480">
        <f t="shared" si="0"/>
        <v>2032</v>
      </c>
      <c r="S3" s="319"/>
    </row>
    <row r="4" spans="2:19" s="319" customFormat="1" x14ac:dyDescent="0.2">
      <c r="C4" s="536"/>
      <c r="D4" s="536"/>
      <c r="H4" s="333"/>
      <c r="I4" s="344"/>
      <c r="J4" s="481"/>
      <c r="K4" s="481"/>
      <c r="L4" s="481"/>
      <c r="M4" s="481"/>
      <c r="N4" s="481"/>
      <c r="O4" s="481"/>
      <c r="P4" s="481"/>
      <c r="Q4" s="481"/>
      <c r="R4" s="481"/>
      <c r="S4" s="345"/>
    </row>
    <row r="5" spans="2:19" ht="15" x14ac:dyDescent="0.25">
      <c r="B5" s="232" t="s">
        <v>31</v>
      </c>
      <c r="C5" s="233" t="s">
        <v>303</v>
      </c>
      <c r="D5" s="233" t="s">
        <v>304</v>
      </c>
      <c r="E5" s="233" t="s">
        <v>305</v>
      </c>
      <c r="F5" s="234" t="s">
        <v>16</v>
      </c>
      <c r="H5" s="323"/>
      <c r="I5" s="320" t="s">
        <v>31</v>
      </c>
      <c r="J5" s="478"/>
      <c r="K5" s="482"/>
      <c r="L5" s="482"/>
      <c r="M5" s="482"/>
      <c r="N5" s="482"/>
      <c r="O5" s="482"/>
      <c r="P5" s="482"/>
      <c r="Q5" s="482"/>
      <c r="R5" s="482"/>
      <c r="S5" s="346"/>
    </row>
    <row r="6" spans="2:19" s="319" customFormat="1" x14ac:dyDescent="0.2">
      <c r="B6" s="319" t="s">
        <v>32</v>
      </c>
      <c r="C6" s="543">
        <f>'1-Cockpit&amp;assumptions'!E130</f>
        <v>350</v>
      </c>
      <c r="D6" s="543"/>
      <c r="E6" s="321"/>
      <c r="F6" s="322">
        <f t="shared" ref="F6:F11" si="1">SUM(C6:D6)</f>
        <v>350</v>
      </c>
      <c r="H6" s="323"/>
      <c r="I6" s="324" t="str">
        <f t="shared" ref="I6:I13" si="2">B6</f>
        <v>Sales</v>
      </c>
      <c r="J6" s="326">
        <f>F6</f>
        <v>350</v>
      </c>
      <c r="K6" s="326">
        <f>'2-Valuation DCF'!F181</f>
        <v>0</v>
      </c>
      <c r="L6" s="326">
        <f>'2-Valuation DCF'!G181</f>
        <v>0</v>
      </c>
      <c r="M6" s="326">
        <f>'2-Valuation DCF'!H181</f>
        <v>0</v>
      </c>
      <c r="N6" s="326">
        <f>'2-Valuation DCF'!I181</f>
        <v>0</v>
      </c>
      <c r="O6" s="326">
        <f>'2-Valuation DCF'!J181</f>
        <v>0</v>
      </c>
      <c r="P6" s="326">
        <f>'2-Valuation DCF'!K181</f>
        <v>0</v>
      </c>
      <c r="Q6" s="326">
        <f>'2-Valuation DCF'!L181</f>
        <v>0</v>
      </c>
      <c r="R6" s="326">
        <f>'2-Valuation DCF'!M181</f>
        <v>0</v>
      </c>
      <c r="S6" s="325"/>
    </row>
    <row r="7" spans="2:19" x14ac:dyDescent="0.2">
      <c r="B7" s="235" t="s">
        <v>122</v>
      </c>
      <c r="C7" s="544">
        <f>'1-Cockpit&amp;assumptions'!E151*'1-Cockpit&amp;assumptions'!E149</f>
        <v>147</v>
      </c>
      <c r="D7" s="544"/>
      <c r="E7" s="236"/>
      <c r="F7" s="237">
        <f t="shared" si="1"/>
        <v>147</v>
      </c>
      <c r="H7" s="323"/>
      <c r="I7" s="238" t="str">
        <f t="shared" si="2"/>
        <v>EBITDA</v>
      </c>
      <c r="J7" s="239">
        <f>'2-Valuation DCF'!E13+'2-Valuation DCF'!E66</f>
        <v>223.5</v>
      </c>
      <c r="K7" s="239">
        <f>'2-Valuation DCF'!F182</f>
        <v>0</v>
      </c>
      <c r="L7" s="239">
        <f>'2-Valuation DCF'!G182</f>
        <v>0</v>
      </c>
      <c r="M7" s="239">
        <f>'2-Valuation DCF'!H182</f>
        <v>0</v>
      </c>
      <c r="N7" s="239">
        <f>'2-Valuation DCF'!I182</f>
        <v>0</v>
      </c>
      <c r="O7" s="239">
        <f>'2-Valuation DCF'!J182</f>
        <v>0</v>
      </c>
      <c r="P7" s="239">
        <f>'2-Valuation DCF'!K182</f>
        <v>0</v>
      </c>
      <c r="Q7" s="239">
        <f>'2-Valuation DCF'!L182</f>
        <v>0</v>
      </c>
      <c r="R7" s="239">
        <f>'2-Valuation DCF'!M182</f>
        <v>0</v>
      </c>
      <c r="S7" s="240"/>
    </row>
    <row r="8" spans="2:19" s="319" customFormat="1" x14ac:dyDescent="0.2">
      <c r="B8" s="324" t="s">
        <v>123</v>
      </c>
      <c r="C8" s="543">
        <f>-'1-Cockpit&amp;assumptions'!E152</f>
        <v>-7</v>
      </c>
      <c r="D8" s="543"/>
      <c r="E8" s="321"/>
      <c r="F8" s="322">
        <f t="shared" si="1"/>
        <v>-7</v>
      </c>
      <c r="H8" s="323"/>
      <c r="I8" s="324" t="str">
        <f t="shared" si="2"/>
        <v>D&amp;A</v>
      </c>
      <c r="J8" s="326">
        <f>-'2-Valuation DCF'!E14-'2-Valuation DCF'!E67</f>
        <v>-25</v>
      </c>
      <c r="K8" s="326">
        <f>-'2-Valuation DCF'!F14-'2-Valuation DCF'!F67</f>
        <v>-26.040000000000003</v>
      </c>
      <c r="L8" s="326">
        <f>-'2-Valuation DCF'!G14-'2-Valuation DCF'!G67</f>
        <v>-27.753600000000006</v>
      </c>
      <c r="M8" s="326">
        <f>-'2-Valuation DCF'!H14-'2-Valuation DCF'!H67</f>
        <v>-29.621424000000005</v>
      </c>
      <c r="N8" s="326">
        <f>-'2-Valuation DCF'!I14-'2-Valuation DCF'!I67</f>
        <v>-31.204923680000007</v>
      </c>
      <c r="O8" s="326">
        <f>-'2-Valuation DCF'!J14-'2-Valuation DCF'!J67</f>
        <v>-32.899268337600013</v>
      </c>
      <c r="P8" s="326">
        <f>-'2-Valuation DCF'!K14-'2-Valuation DCF'!K67</f>
        <v>-34.712217121232015</v>
      </c>
      <c r="Q8" s="326">
        <f>-'2-Valuation DCF'!L14-'2-Valuation DCF'!L67</f>
        <v>-36.097827977293619</v>
      </c>
      <c r="R8" s="326">
        <f>-'2-Valuation DCF'!M14-'2-Valuation DCF'!M67</f>
        <v>-37.552719376158294</v>
      </c>
      <c r="S8" s="327"/>
    </row>
    <row r="9" spans="2:19" x14ac:dyDescent="0.2">
      <c r="B9" s="235" t="s">
        <v>35</v>
      </c>
      <c r="C9" s="544">
        <f>SUM(C7:C8)</f>
        <v>140</v>
      </c>
      <c r="D9" s="544"/>
      <c r="E9" s="236"/>
      <c r="F9" s="237">
        <f t="shared" si="1"/>
        <v>140</v>
      </c>
      <c r="H9" s="323"/>
      <c r="I9" s="242" t="str">
        <f t="shared" si="2"/>
        <v>EBIT</v>
      </c>
      <c r="J9" s="243">
        <f>SUM(J7:J8)</f>
        <v>198.5</v>
      </c>
      <c r="K9" s="243">
        <f>SUM(K7:K8)</f>
        <v>-26.040000000000003</v>
      </c>
      <c r="L9" s="243">
        <f t="shared" ref="L9:R9" si="3">SUM(L7:L8)</f>
        <v>-27.753600000000006</v>
      </c>
      <c r="M9" s="243">
        <f t="shared" si="3"/>
        <v>-29.621424000000005</v>
      </c>
      <c r="N9" s="243">
        <f t="shared" si="3"/>
        <v>-31.204923680000007</v>
      </c>
      <c r="O9" s="243">
        <f t="shared" si="3"/>
        <v>-32.899268337600013</v>
      </c>
      <c r="P9" s="243">
        <f t="shared" si="3"/>
        <v>-34.712217121232015</v>
      </c>
      <c r="Q9" s="243">
        <f t="shared" si="3"/>
        <v>-36.097827977293619</v>
      </c>
      <c r="R9" s="243">
        <f t="shared" si="3"/>
        <v>-37.552719376158294</v>
      </c>
      <c r="S9" s="240"/>
    </row>
    <row r="10" spans="2:19" s="319" customFormat="1" x14ac:dyDescent="0.2">
      <c r="B10" s="319" t="s">
        <v>36</v>
      </c>
      <c r="C10" s="543">
        <f>-C21*'1-Cockpit&amp;assumptions'!E161</f>
        <v>-4.95</v>
      </c>
      <c r="D10" s="543"/>
      <c r="E10" s="321"/>
      <c r="F10" s="322">
        <f t="shared" si="1"/>
        <v>-4.95</v>
      </c>
      <c r="H10" s="323"/>
      <c r="I10" s="324" t="str">
        <f t="shared" si="2"/>
        <v>Fin inc (exp)</v>
      </c>
      <c r="J10" s="326">
        <f>F10</f>
        <v>-4.95</v>
      </c>
      <c r="K10" s="326">
        <f>-'2-Valuation DCF'!F169</f>
        <v>-62.100000000000009</v>
      </c>
      <c r="L10" s="326">
        <f>-'2-Valuation DCF'!G169</f>
        <v>-55.890000000000008</v>
      </c>
      <c r="M10" s="326">
        <f>-'2-Valuation DCF'!H169</f>
        <v>-49.680000000000007</v>
      </c>
      <c r="N10" s="326">
        <f>-'2-Valuation DCF'!I169</f>
        <v>-43.47</v>
      </c>
      <c r="O10" s="326">
        <f>-'2-Valuation DCF'!J169</f>
        <v>-37.260000000000005</v>
      </c>
      <c r="P10" s="326">
        <f>-'2-Valuation DCF'!K169</f>
        <v>-31.050000000000004</v>
      </c>
      <c r="Q10" s="326">
        <f>-'2-Valuation DCF'!L169</f>
        <v>-24.840000000000003</v>
      </c>
      <c r="R10" s="326">
        <f>-'2-Valuation DCF'!M169</f>
        <v>-18.630000000000003</v>
      </c>
      <c r="S10" s="327"/>
    </row>
    <row r="11" spans="2:19" x14ac:dyDescent="0.2">
      <c r="B11" s="235" t="s">
        <v>37</v>
      </c>
      <c r="C11" s="544">
        <f>SUM(C9:C10)</f>
        <v>135.05000000000001</v>
      </c>
      <c r="D11" s="544"/>
      <c r="E11" s="236"/>
      <c r="F11" s="237">
        <f t="shared" si="1"/>
        <v>135.05000000000001</v>
      </c>
      <c r="H11" s="323"/>
      <c r="I11" s="238" t="str">
        <f t="shared" si="2"/>
        <v>EBT</v>
      </c>
      <c r="J11" s="243">
        <f>SUM(J9:J10)</f>
        <v>193.55</v>
      </c>
      <c r="K11" s="243">
        <f>SUM(K9:K10)</f>
        <v>-88.140000000000015</v>
      </c>
      <c r="L11" s="243">
        <f t="shared" ref="L11:R11" si="4">SUM(L9:L10)</f>
        <v>-83.643600000000021</v>
      </c>
      <c r="M11" s="243">
        <f t="shared" si="4"/>
        <v>-79.301424000000011</v>
      </c>
      <c r="N11" s="243">
        <f t="shared" si="4"/>
        <v>-74.674923680000006</v>
      </c>
      <c r="O11" s="243">
        <f t="shared" si="4"/>
        <v>-70.159268337600025</v>
      </c>
      <c r="P11" s="243">
        <f t="shared" si="4"/>
        <v>-65.762217121232027</v>
      </c>
      <c r="Q11" s="243">
        <f t="shared" si="4"/>
        <v>-60.937827977293622</v>
      </c>
      <c r="R11" s="243">
        <f t="shared" si="4"/>
        <v>-56.182719376158296</v>
      </c>
      <c r="S11" s="240"/>
    </row>
    <row r="12" spans="2:19" s="319" customFormat="1" x14ac:dyDescent="0.2">
      <c r="B12" s="319" t="s">
        <v>38</v>
      </c>
      <c r="C12" s="543">
        <f>-C11*'1-Cockpit&amp;assumptions'!E156</f>
        <v>-33.762500000000003</v>
      </c>
      <c r="D12" s="543"/>
      <c r="E12" s="321"/>
      <c r="F12" s="322">
        <f>SUM(C12:E12)</f>
        <v>-33.762500000000003</v>
      </c>
      <c r="H12" s="323"/>
      <c r="I12" s="324" t="str">
        <f t="shared" si="2"/>
        <v>Tax</v>
      </c>
      <c r="J12" s="326">
        <v>-74.720000000000013</v>
      </c>
      <c r="K12" s="326">
        <f>-K11*'1-Cockpit&amp;assumptions'!$E$156</f>
        <v>22.035000000000004</v>
      </c>
      <c r="L12" s="326">
        <f>-L11*'1-Cockpit&amp;assumptions'!$E$156</f>
        <v>20.910900000000005</v>
      </c>
      <c r="M12" s="326">
        <f>-M11*'1-Cockpit&amp;assumptions'!$E$156</f>
        <v>19.825356000000003</v>
      </c>
      <c r="N12" s="326">
        <f>-N11*'1-Cockpit&amp;assumptions'!$E$156</f>
        <v>18.668730920000002</v>
      </c>
      <c r="O12" s="326">
        <f>-O11*'1-Cockpit&amp;assumptions'!$E$156</f>
        <v>17.539817084400006</v>
      </c>
      <c r="P12" s="326">
        <f>-P11*'1-Cockpit&amp;assumptions'!$E$156</f>
        <v>16.440554280308007</v>
      </c>
      <c r="Q12" s="326">
        <f>-Q11*'1-Cockpit&amp;assumptions'!$E$156</f>
        <v>15.234456994323406</v>
      </c>
      <c r="R12" s="326">
        <f>-R11*'1-Cockpit&amp;assumptions'!$E$156</f>
        <v>14.045679844039574</v>
      </c>
      <c r="S12" s="327"/>
    </row>
    <row r="13" spans="2:19" x14ac:dyDescent="0.2">
      <c r="B13" s="235" t="s">
        <v>39</v>
      </c>
      <c r="C13" s="544">
        <f>SUM(C11:C12)</f>
        <v>101.28750000000001</v>
      </c>
      <c r="D13" s="544"/>
      <c r="E13" s="236"/>
      <c r="F13" s="244">
        <f>SUM(F11:F12)</f>
        <v>101.28750000000001</v>
      </c>
      <c r="G13" s="334"/>
      <c r="H13" s="335"/>
      <c r="I13" s="238" t="str">
        <f t="shared" si="2"/>
        <v>Net Income</v>
      </c>
      <c r="J13" s="243">
        <f>SUM(J11:J12)</f>
        <v>118.83</v>
      </c>
      <c r="K13" s="243">
        <f>SUM(K11:K12)</f>
        <v>-66.105000000000018</v>
      </c>
      <c r="L13" s="243">
        <f t="shared" ref="L13:R13" si="5">SUM(L11:L12)</f>
        <v>-62.732700000000015</v>
      </c>
      <c r="M13" s="243">
        <f t="shared" si="5"/>
        <v>-59.476068000000012</v>
      </c>
      <c r="N13" s="243">
        <f t="shared" si="5"/>
        <v>-56.006192760000005</v>
      </c>
      <c r="O13" s="243">
        <f t="shared" si="5"/>
        <v>-52.619451253200019</v>
      </c>
      <c r="P13" s="243">
        <f t="shared" si="5"/>
        <v>-49.32166284092402</v>
      </c>
      <c r="Q13" s="243">
        <f t="shared" si="5"/>
        <v>-45.703370982970213</v>
      </c>
      <c r="R13" s="243">
        <f t="shared" si="5"/>
        <v>-42.13703953211872</v>
      </c>
      <c r="S13" s="240"/>
    </row>
    <row r="14" spans="2:19" s="319" customFormat="1" x14ac:dyDescent="0.2">
      <c r="C14" s="321"/>
      <c r="D14" s="321"/>
      <c r="E14" s="321"/>
      <c r="F14" s="322"/>
      <c r="H14" s="328"/>
      <c r="I14" s="329"/>
      <c r="J14" s="330"/>
      <c r="K14" s="331"/>
      <c r="L14" s="331"/>
      <c r="M14" s="331"/>
      <c r="N14" s="331"/>
      <c r="O14" s="331"/>
      <c r="P14" s="331"/>
      <c r="Q14" s="331"/>
      <c r="R14" s="331"/>
      <c r="S14" s="332"/>
    </row>
    <row r="15" spans="2:19" ht="15" x14ac:dyDescent="0.25">
      <c r="B15" s="232" t="s">
        <v>306</v>
      </c>
      <c r="C15" s="233" t="s">
        <v>303</v>
      </c>
      <c r="D15" s="233" t="s">
        <v>304</v>
      </c>
      <c r="E15" s="233" t="str">
        <f>E5</f>
        <v>Debt&amp;Stock funded</v>
      </c>
      <c r="F15" s="234" t="s">
        <v>16</v>
      </c>
      <c r="H15" s="333"/>
      <c r="I15" s="231"/>
      <c r="J15" s="249"/>
      <c r="K15" s="250"/>
      <c r="L15" s="250"/>
      <c r="M15" s="250"/>
      <c r="N15" s="250"/>
      <c r="O15" s="250"/>
      <c r="P15" s="250"/>
      <c r="Q15" s="250"/>
      <c r="R15" s="250"/>
      <c r="S15" s="251"/>
    </row>
    <row r="16" spans="2:19" x14ac:dyDescent="0.2">
      <c r="B16" s="484" t="s">
        <v>41</v>
      </c>
      <c r="C16" s="539">
        <f>'1-Cockpit&amp;assumptions'!E140</f>
        <v>605</v>
      </c>
      <c r="D16" s="539">
        <f>'1-Cockpit&amp;assumptions'!E101</f>
        <v>212</v>
      </c>
      <c r="E16" s="321"/>
      <c r="F16" s="322">
        <f>SUM(C16:E16)</f>
        <v>817</v>
      </c>
      <c r="H16" s="323"/>
      <c r="I16" s="73" t="s">
        <v>40</v>
      </c>
      <c r="J16" s="252"/>
      <c r="M16" s="241"/>
      <c r="N16" s="241"/>
      <c r="O16" s="241"/>
      <c r="P16" s="241"/>
      <c r="Q16" s="241"/>
      <c r="R16" s="241"/>
      <c r="S16" s="240"/>
    </row>
    <row r="17" spans="2:19" x14ac:dyDescent="0.2">
      <c r="B17" s="484" t="s">
        <v>307</v>
      </c>
      <c r="C17" s="539"/>
      <c r="D17" s="539"/>
      <c r="E17" s="260">
        <f>(E21+E22)-D22</f>
        <v>830</v>
      </c>
      <c r="F17" s="322">
        <f t="shared" ref="F17:F18" si="6">SUM(C17:E17)</f>
        <v>830</v>
      </c>
      <c r="H17" s="323"/>
      <c r="I17" t="str">
        <f>B16</f>
        <v>Fixed Assets</v>
      </c>
      <c r="J17" s="254">
        <f>F16</f>
        <v>817</v>
      </c>
      <c r="K17" s="241">
        <f>F16+K8-K31</f>
        <v>818</v>
      </c>
      <c r="L17" s="241">
        <f t="shared" ref="L17:R17" si="7">K17+L8-L31</f>
        <v>819</v>
      </c>
      <c r="M17" s="241">
        <f t="shared" si="7"/>
        <v>820</v>
      </c>
      <c r="N17" s="241">
        <f t="shared" si="7"/>
        <v>821</v>
      </c>
      <c r="O17" s="241">
        <f t="shared" si="7"/>
        <v>822</v>
      </c>
      <c r="P17" s="241">
        <f t="shared" si="7"/>
        <v>823</v>
      </c>
      <c r="Q17" s="241">
        <f t="shared" si="7"/>
        <v>824</v>
      </c>
      <c r="R17" s="241">
        <f t="shared" si="7"/>
        <v>825</v>
      </c>
      <c r="S17" s="240"/>
    </row>
    <row r="18" spans="2:19" x14ac:dyDescent="0.2">
      <c r="B18" s="484" t="s">
        <v>42</v>
      </c>
      <c r="C18" s="539">
        <f>'1-Cockpit&amp;assumptions'!E141</f>
        <v>5</v>
      </c>
      <c r="D18" s="539">
        <f>'1-Cockpit&amp;assumptions'!E102</f>
        <v>8</v>
      </c>
      <c r="E18" s="321"/>
      <c r="F18" s="322">
        <f t="shared" si="6"/>
        <v>13</v>
      </c>
      <c r="H18" s="323"/>
      <c r="I18" s="72" t="s">
        <v>307</v>
      </c>
      <c r="J18" s="254">
        <f>F17</f>
        <v>830</v>
      </c>
      <c r="K18" s="241">
        <f>F17</f>
        <v>830</v>
      </c>
      <c r="L18" s="241">
        <f>K18</f>
        <v>830</v>
      </c>
      <c r="M18" s="241">
        <f t="shared" ref="M18:R18" si="8">L18</f>
        <v>830</v>
      </c>
      <c r="N18" s="241">
        <f t="shared" si="8"/>
        <v>830</v>
      </c>
      <c r="O18" s="241">
        <f t="shared" si="8"/>
        <v>830</v>
      </c>
      <c r="P18" s="241">
        <f t="shared" si="8"/>
        <v>830</v>
      </c>
      <c r="Q18" s="241">
        <f t="shared" si="8"/>
        <v>830</v>
      </c>
      <c r="R18" s="241">
        <f t="shared" si="8"/>
        <v>830</v>
      </c>
      <c r="S18" s="240"/>
    </row>
    <row r="19" spans="2:19" ht="15" x14ac:dyDescent="0.35">
      <c r="B19" s="484" t="s">
        <v>308</v>
      </c>
      <c r="C19" s="540"/>
      <c r="D19" s="540"/>
      <c r="E19" s="321"/>
      <c r="F19" s="485">
        <f>SUM(C19:E19)</f>
        <v>0</v>
      </c>
      <c r="H19" s="323"/>
      <c r="I19" s="72" t="s">
        <v>42</v>
      </c>
      <c r="J19" s="254">
        <f>'2-Valuation DCF'!E72+'2-Valuation DCF'!E18</f>
        <v>13</v>
      </c>
      <c r="K19" s="254">
        <f>'2-Valuation DCF'!F72+'2-Valuation DCF'!F18</f>
        <v>13.535</v>
      </c>
      <c r="L19" s="254">
        <f>'2-Valuation DCF'!G72+'2-Valuation DCF'!G18</f>
        <v>14.092324999999999</v>
      </c>
      <c r="M19" s="254">
        <f>'2-Valuation DCF'!H72+'2-Valuation DCF'!H18</f>
        <v>14.672918374999998</v>
      </c>
      <c r="N19" s="254">
        <f>'2-Valuation DCF'!I72+'2-Valuation DCF'!I18</f>
        <v>15.277763808124996</v>
      </c>
      <c r="O19" s="254">
        <f>'2-Valuation DCF'!J72+'2-Valuation DCF'!J18</f>
        <v>15.907887029459371</v>
      </c>
      <c r="P19" s="254">
        <f>'2-Valuation DCF'!K72+'2-Valuation DCF'!K18</f>
        <v>16.564357630502698</v>
      </c>
      <c r="Q19" s="254">
        <f>'2-Valuation DCF'!L72+'2-Valuation DCF'!L18</f>
        <v>17.24829095755809</v>
      </c>
      <c r="R19" s="254">
        <f>'2-Valuation DCF'!M72+'2-Valuation DCF'!M18</f>
        <v>17.960850087509876</v>
      </c>
      <c r="S19" s="240"/>
    </row>
    <row r="20" spans="2:19" x14ac:dyDescent="0.2">
      <c r="B20" s="235" t="s">
        <v>309</v>
      </c>
      <c r="C20" s="541">
        <f>SUM(C16:C19)</f>
        <v>610</v>
      </c>
      <c r="D20" s="541">
        <f t="shared" ref="D20" si="9">SUM(D16:D19)</f>
        <v>220</v>
      </c>
      <c r="E20" s="489"/>
      <c r="F20" s="237">
        <f>SUM(F16:F19)</f>
        <v>1660</v>
      </c>
      <c r="H20" s="323"/>
      <c r="I20" s="242" t="s">
        <v>309</v>
      </c>
      <c r="J20" s="255">
        <f t="shared" ref="J20:R20" si="10">SUM(J17:J19)</f>
        <v>1660</v>
      </c>
      <c r="K20" s="243">
        <f t="shared" si="10"/>
        <v>1661.5350000000001</v>
      </c>
      <c r="L20" s="243">
        <f t="shared" si="10"/>
        <v>1663.0923250000001</v>
      </c>
      <c r="M20" s="243">
        <f t="shared" si="10"/>
        <v>1664.6729183750001</v>
      </c>
      <c r="N20" s="243">
        <f t="shared" si="10"/>
        <v>1666.277763808125</v>
      </c>
      <c r="O20" s="243">
        <f t="shared" si="10"/>
        <v>1667.9078870294593</v>
      </c>
      <c r="P20" s="243">
        <f t="shared" si="10"/>
        <v>1669.5643576305026</v>
      </c>
      <c r="Q20" s="243">
        <f t="shared" si="10"/>
        <v>1671.2482909575581</v>
      </c>
      <c r="R20" s="243">
        <f t="shared" si="10"/>
        <v>1672.9608500875099</v>
      </c>
      <c r="S20" s="240"/>
    </row>
    <row r="21" spans="2:19" x14ac:dyDescent="0.2">
      <c r="B21" s="484" t="s">
        <v>44</v>
      </c>
      <c r="C21" s="539">
        <f>'1-Cockpit&amp;assumptions'!E143</f>
        <v>110</v>
      </c>
      <c r="D21" s="539">
        <f>'1-Cockpit&amp;assumptions'!E104</f>
        <v>150</v>
      </c>
      <c r="E21" s="321">
        <f>'1-Cockpit&amp;assumptions'!E19</f>
        <v>720</v>
      </c>
      <c r="F21" s="486">
        <f>SUM(C21:E21)</f>
        <v>980</v>
      </c>
      <c r="G21" s="336"/>
      <c r="H21" s="337"/>
      <c r="I21" t="str">
        <f>B21</f>
        <v>Net Debt (Gross Debt minus Cash)</v>
      </c>
      <c r="J21" s="254">
        <f>F21</f>
        <v>980</v>
      </c>
      <c r="K21" s="241">
        <f>SUM(K22:K23)</f>
        <v>1047.6400000000001</v>
      </c>
      <c r="L21" s="241">
        <f t="shared" ref="L21:R21" si="11">SUM(L22:L23)</f>
        <v>1111.9300250000001</v>
      </c>
      <c r="M21" s="241">
        <f t="shared" si="11"/>
        <v>1172.9866863749999</v>
      </c>
      <c r="N21" s="241">
        <f t="shared" si="11"/>
        <v>1230.5977245681249</v>
      </c>
      <c r="O21" s="241">
        <f t="shared" si="11"/>
        <v>1284.8472990426594</v>
      </c>
      <c r="P21" s="241">
        <f t="shared" si="11"/>
        <v>1335.8254324846266</v>
      </c>
      <c r="Q21" s="241">
        <f t="shared" si="11"/>
        <v>1383.2127367946523</v>
      </c>
      <c r="R21" s="241">
        <f t="shared" si="11"/>
        <v>1427.0623354567228</v>
      </c>
      <c r="S21" s="240"/>
    </row>
    <row r="22" spans="2:19" ht="15" x14ac:dyDescent="0.35">
      <c r="B22" s="484" t="s">
        <v>45</v>
      </c>
      <c r="C22" s="539">
        <f>'1-Cockpit&amp;assumptions'!E144</f>
        <v>500</v>
      </c>
      <c r="D22" s="542">
        <f>'1-Cockpit&amp;assumptions'!E105</f>
        <v>70</v>
      </c>
      <c r="E22" s="487">
        <f>'1-Cockpit&amp;assumptions'!E20</f>
        <v>180</v>
      </c>
      <c r="F22" s="485">
        <f>C22+E22</f>
        <v>680</v>
      </c>
      <c r="G22" s="338"/>
      <c r="H22" s="339"/>
      <c r="I22" s="256" t="s">
        <v>310</v>
      </c>
      <c r="J22" s="373">
        <f>F21</f>
        <v>980</v>
      </c>
      <c r="K22" s="257">
        <f>'2-Valuation DCF'!F167</f>
        <v>882</v>
      </c>
      <c r="L22" s="257">
        <f>'2-Valuation DCF'!G167</f>
        <v>784</v>
      </c>
      <c r="M22" s="257">
        <f>'2-Valuation DCF'!H167</f>
        <v>686</v>
      </c>
      <c r="N22" s="257">
        <f>'2-Valuation DCF'!I167</f>
        <v>588</v>
      </c>
      <c r="O22" s="257">
        <f>'2-Valuation DCF'!J167</f>
        <v>490</v>
      </c>
      <c r="P22" s="257">
        <f>'2-Valuation DCF'!K167</f>
        <v>392</v>
      </c>
      <c r="Q22" s="257">
        <f>'2-Valuation DCF'!L167</f>
        <v>294</v>
      </c>
      <c r="R22" s="257">
        <f>'2-Valuation DCF'!M167</f>
        <v>196</v>
      </c>
      <c r="S22" s="240"/>
    </row>
    <row r="23" spans="2:19" x14ac:dyDescent="0.2">
      <c r="B23" s="235" t="s">
        <v>311</v>
      </c>
      <c r="C23" s="541">
        <f t="shared" ref="C23:F23" si="12">SUM(C21:C22)</f>
        <v>610</v>
      </c>
      <c r="D23" s="541">
        <f t="shared" si="12"/>
        <v>220</v>
      </c>
      <c r="E23" s="489"/>
      <c r="F23" s="490">
        <f t="shared" si="12"/>
        <v>1660</v>
      </c>
      <c r="G23" s="340"/>
      <c r="H23" s="341"/>
      <c r="I23" s="256" t="s">
        <v>312</v>
      </c>
      <c r="J23" s="373">
        <v>0</v>
      </c>
      <c r="K23" s="257">
        <f>-K35</f>
        <v>165.64000000000001</v>
      </c>
      <c r="L23" s="257">
        <f t="shared" ref="L23:R23" si="13">-L35</f>
        <v>327.930025</v>
      </c>
      <c r="M23" s="257">
        <f t="shared" si="13"/>
        <v>486.98668637499998</v>
      </c>
      <c r="N23" s="257">
        <f t="shared" si="13"/>
        <v>642.59772456812493</v>
      </c>
      <c r="O23" s="257">
        <f t="shared" si="13"/>
        <v>794.8472990426593</v>
      </c>
      <c r="P23" s="257">
        <f t="shared" si="13"/>
        <v>943.82543248462662</v>
      </c>
      <c r="Q23" s="257">
        <f t="shared" si="13"/>
        <v>1089.2127367946523</v>
      </c>
      <c r="R23" s="257">
        <f t="shared" si="13"/>
        <v>1231.0623354567228</v>
      </c>
      <c r="S23" s="240"/>
    </row>
    <row r="24" spans="2:19" x14ac:dyDescent="0.2">
      <c r="B24" s="319"/>
      <c r="C24" s="536"/>
      <c r="D24" s="536"/>
      <c r="E24" s="319"/>
      <c r="F24" s="488"/>
      <c r="H24" s="323"/>
      <c r="I24" s="72" t="s">
        <v>313</v>
      </c>
      <c r="J24" s="258">
        <f>F22</f>
        <v>680</v>
      </c>
      <c r="K24" s="241">
        <f>F22</f>
        <v>680</v>
      </c>
      <c r="L24" s="241">
        <f>K24</f>
        <v>680</v>
      </c>
      <c r="M24" s="241">
        <f t="shared" ref="M24:R24" si="14">L24</f>
        <v>680</v>
      </c>
      <c r="N24" s="241">
        <f t="shared" si="14"/>
        <v>680</v>
      </c>
      <c r="O24" s="241">
        <f t="shared" si="14"/>
        <v>680</v>
      </c>
      <c r="P24" s="241">
        <f t="shared" si="14"/>
        <v>680</v>
      </c>
      <c r="Q24" s="241">
        <f t="shared" si="14"/>
        <v>680</v>
      </c>
      <c r="R24" s="241">
        <f t="shared" si="14"/>
        <v>680</v>
      </c>
      <c r="S24" s="240"/>
    </row>
    <row r="25" spans="2:19" x14ac:dyDescent="0.2">
      <c r="B25" s="324" t="s">
        <v>314</v>
      </c>
      <c r="C25" s="342" t="str">
        <f>IF(ROUND(C23-C20,0)&lt;&gt;0,"ERROR","OK")</f>
        <v>OK</v>
      </c>
      <c r="D25" s="342" t="str">
        <f>IF(ROUND(D23-D20,0)&lt;&gt;0,"ERROR","OK")</f>
        <v>OK</v>
      </c>
      <c r="E25" s="342"/>
      <c r="F25" s="342" t="str">
        <f>IF(ROUND(F23-F20,0)&lt;&gt;0,"ERROR","OK")</f>
        <v>OK</v>
      </c>
      <c r="G25" s="321"/>
      <c r="H25" s="343"/>
      <c r="I25" s="72" t="s">
        <v>315</v>
      </c>
      <c r="J25" s="259"/>
      <c r="K25" s="241">
        <f>K13</f>
        <v>-66.105000000000018</v>
      </c>
      <c r="L25" s="241">
        <f t="shared" ref="L25:R25" si="15">K25+L13</f>
        <v>-128.83770000000004</v>
      </c>
      <c r="M25" s="241">
        <f t="shared" si="15"/>
        <v>-188.31376800000004</v>
      </c>
      <c r="N25" s="241">
        <f t="shared" si="15"/>
        <v>-244.31996076000004</v>
      </c>
      <c r="O25" s="241">
        <f t="shared" si="15"/>
        <v>-296.93941201320007</v>
      </c>
      <c r="P25" s="241">
        <f t="shared" si="15"/>
        <v>-346.2610748541241</v>
      </c>
      <c r="Q25" s="241">
        <f t="shared" si="15"/>
        <v>-391.96444583709433</v>
      </c>
      <c r="R25" s="241">
        <f t="shared" si="15"/>
        <v>-434.10148536921304</v>
      </c>
      <c r="S25" s="240"/>
    </row>
    <row r="26" spans="2:19" x14ac:dyDescent="0.2">
      <c r="B26" s="319"/>
      <c r="C26" s="321"/>
      <c r="D26" s="321"/>
      <c r="E26" s="321"/>
      <c r="F26" s="321"/>
      <c r="H26" s="323"/>
      <c r="I26" s="242" t="str">
        <f>B23</f>
        <v>Invested Capital</v>
      </c>
      <c r="J26" s="255">
        <f t="shared" ref="J26:R26" si="16">J21+J24+J25</f>
        <v>1660</v>
      </c>
      <c r="K26" s="243">
        <f t="shared" si="16"/>
        <v>1661.5350000000001</v>
      </c>
      <c r="L26" s="243">
        <f t="shared" si="16"/>
        <v>1663.0923250000001</v>
      </c>
      <c r="M26" s="243">
        <f t="shared" si="16"/>
        <v>1664.6729183749999</v>
      </c>
      <c r="N26" s="243">
        <f t="shared" si="16"/>
        <v>1666.277763808125</v>
      </c>
      <c r="O26" s="243">
        <f t="shared" si="16"/>
        <v>1667.9078870294593</v>
      </c>
      <c r="P26" s="243">
        <f t="shared" si="16"/>
        <v>1669.5643576305024</v>
      </c>
      <c r="Q26" s="243">
        <f t="shared" si="16"/>
        <v>1671.2482909575579</v>
      </c>
      <c r="R26" s="243">
        <f t="shared" si="16"/>
        <v>1672.9608500875097</v>
      </c>
      <c r="S26" s="240"/>
    </row>
    <row r="27" spans="2:19" x14ac:dyDescent="0.2">
      <c r="B27" s="319"/>
      <c r="C27" s="536"/>
      <c r="D27" s="536"/>
      <c r="E27" s="319"/>
      <c r="F27" s="260"/>
      <c r="H27" s="328"/>
      <c r="I27" s="245"/>
      <c r="J27" s="261"/>
      <c r="K27" s="246"/>
      <c r="L27" s="247"/>
      <c r="M27" s="247"/>
      <c r="N27" s="247"/>
      <c r="O27" s="247"/>
      <c r="P27" s="247"/>
      <c r="Q27" s="247"/>
      <c r="R27" s="247"/>
      <c r="S27" s="248"/>
    </row>
    <row r="28" spans="2:19" x14ac:dyDescent="0.2">
      <c r="B28" s="319"/>
      <c r="C28" s="536"/>
      <c r="D28" s="536"/>
      <c r="E28" s="319"/>
      <c r="F28" s="319"/>
      <c r="H28" s="333"/>
      <c r="I28" s="231"/>
      <c r="J28" s="249"/>
      <c r="K28" s="249"/>
      <c r="L28" s="250"/>
      <c r="M28" s="250"/>
      <c r="N28" s="250"/>
      <c r="O28" s="250"/>
      <c r="P28" s="250"/>
      <c r="Q28" s="250"/>
      <c r="R28" s="250"/>
      <c r="S28" s="251"/>
    </row>
    <row r="29" spans="2:19" x14ac:dyDescent="0.2">
      <c r="B29" s="319"/>
      <c r="C29" s="536"/>
      <c r="D29" s="536"/>
      <c r="E29" s="319"/>
      <c r="F29" s="319"/>
      <c r="H29" s="323"/>
      <c r="I29" s="73" t="s">
        <v>316</v>
      </c>
      <c r="J29" s="252"/>
      <c r="K29" s="241"/>
      <c r="M29" s="241"/>
      <c r="N29" s="241"/>
      <c r="O29" s="241"/>
      <c r="P29" s="241"/>
      <c r="Q29" s="241"/>
      <c r="R29" s="241"/>
      <c r="S29" s="240"/>
    </row>
    <row r="30" spans="2:19" x14ac:dyDescent="0.2">
      <c r="B30" s="319"/>
      <c r="C30" s="536"/>
      <c r="D30" s="536"/>
      <c r="E30" s="319"/>
      <c r="F30" s="319"/>
      <c r="H30" s="323"/>
      <c r="I30" s="72" t="s">
        <v>317</v>
      </c>
      <c r="J30" s="241"/>
      <c r="K30" s="241">
        <f>K13-(K19-J19)-K8</f>
        <v>-40.600000000000009</v>
      </c>
      <c r="L30" s="241">
        <f t="shared" ref="L30:R30" si="17">L13-(L19-K19)-L8</f>
        <v>-35.536425000000008</v>
      </c>
      <c r="M30" s="241">
        <f t="shared" si="17"/>
        <v>-30.435237375000007</v>
      </c>
      <c r="N30" s="241">
        <f t="shared" si="17"/>
        <v>-25.406114513124997</v>
      </c>
      <c r="O30" s="241">
        <f t="shared" si="17"/>
        <v>-20.350306136934378</v>
      </c>
      <c r="P30" s="241">
        <f t="shared" si="17"/>
        <v>-15.265916320735329</v>
      </c>
      <c r="Q30" s="241">
        <f t="shared" si="17"/>
        <v>-10.289476332731986</v>
      </c>
      <c r="R30" s="241">
        <f t="shared" si="17"/>
        <v>-5.2968792859122118</v>
      </c>
      <c r="S30" s="263"/>
    </row>
    <row r="31" spans="2:19" x14ac:dyDescent="0.2">
      <c r="B31" s="319"/>
      <c r="C31" s="536"/>
      <c r="D31" s="536"/>
      <c r="E31" s="319"/>
      <c r="F31" s="319"/>
      <c r="H31" s="323"/>
      <c r="I31" s="72" t="s">
        <v>318</v>
      </c>
      <c r="J31" s="262"/>
      <c r="K31" s="241">
        <f>-'2-Valuation DCF'!F21-'2-Valuation DCF'!F75</f>
        <v>-27.040000000000003</v>
      </c>
      <c r="L31" s="241">
        <f>-'2-Valuation DCF'!G21-'2-Valuation DCF'!G75</f>
        <v>-28.753600000000006</v>
      </c>
      <c r="M31" s="241">
        <f>-'2-Valuation DCF'!H21-'2-Valuation DCF'!H75</f>
        <v>-30.621424000000005</v>
      </c>
      <c r="N31" s="241">
        <f>-'2-Valuation DCF'!I21-'2-Valuation DCF'!I75</f>
        <v>-32.204923680000007</v>
      </c>
      <c r="O31" s="241">
        <f>-'2-Valuation DCF'!J21-'2-Valuation DCF'!J75</f>
        <v>-33.899268337600013</v>
      </c>
      <c r="P31" s="241">
        <f>-'2-Valuation DCF'!K21-'2-Valuation DCF'!K75</f>
        <v>-35.712217121232015</v>
      </c>
      <c r="Q31" s="241">
        <f>-'2-Valuation DCF'!L21-'2-Valuation DCF'!L75</f>
        <v>-37.097827977293619</v>
      </c>
      <c r="R31" s="241">
        <f>-'2-Valuation DCF'!M21-'2-Valuation DCF'!M75</f>
        <v>-38.552719376158294</v>
      </c>
      <c r="S31" s="263"/>
    </row>
    <row r="32" spans="2:19" x14ac:dyDescent="0.2">
      <c r="B32" s="319"/>
      <c r="C32" s="536"/>
      <c r="D32" s="536"/>
      <c r="E32" s="319"/>
      <c r="F32" s="319"/>
      <c r="H32" s="323"/>
      <c r="I32" s="72" t="s">
        <v>319</v>
      </c>
      <c r="J32" s="262"/>
      <c r="K32" s="241">
        <f>-'2-Valuation DCF'!F166</f>
        <v>-98</v>
      </c>
      <c r="L32" s="241">
        <f>-'2-Valuation DCF'!G166</f>
        <v>-98</v>
      </c>
      <c r="M32" s="241">
        <f>-'2-Valuation DCF'!H166</f>
        <v>-98</v>
      </c>
      <c r="N32" s="241">
        <f>-'2-Valuation DCF'!I166</f>
        <v>-98</v>
      </c>
      <c r="O32" s="241">
        <f>-'2-Valuation DCF'!J166</f>
        <v>-98</v>
      </c>
      <c r="P32" s="241">
        <f>-'2-Valuation DCF'!K166</f>
        <v>-98</v>
      </c>
      <c r="Q32" s="241">
        <f>-'2-Valuation DCF'!L166</f>
        <v>-98</v>
      </c>
      <c r="R32" s="241">
        <f>-'2-Valuation DCF'!M166</f>
        <v>-98</v>
      </c>
      <c r="S32" s="263"/>
    </row>
    <row r="33" spans="1:19" x14ac:dyDescent="0.2">
      <c r="B33" s="319"/>
      <c r="C33" s="536"/>
      <c r="D33" s="536"/>
      <c r="E33" s="319"/>
      <c r="F33" s="319"/>
      <c r="H33" s="323"/>
      <c r="I33" s="242" t="s">
        <v>320</v>
      </c>
      <c r="J33" s="264"/>
      <c r="K33" s="243">
        <f>SUM(K30:K32)</f>
        <v>-165.64000000000001</v>
      </c>
      <c r="L33" s="243">
        <f>SUM(L30:L32)</f>
        <v>-162.29002500000001</v>
      </c>
      <c r="M33" s="243">
        <f t="shared" ref="M33:R33" si="18">SUM(M30:M32)</f>
        <v>-159.056661375</v>
      </c>
      <c r="N33" s="243">
        <f t="shared" si="18"/>
        <v>-155.61103819312501</v>
      </c>
      <c r="O33" s="243">
        <f t="shared" si="18"/>
        <v>-152.2495744745344</v>
      </c>
      <c r="P33" s="243">
        <f t="shared" si="18"/>
        <v>-148.97813344196734</v>
      </c>
      <c r="Q33" s="243">
        <f t="shared" si="18"/>
        <v>-145.3873043100256</v>
      </c>
      <c r="R33" s="243">
        <f t="shared" si="18"/>
        <v>-141.84959866207049</v>
      </c>
      <c r="S33" s="263"/>
    </row>
    <row r="34" spans="1:19" x14ac:dyDescent="0.2">
      <c r="B34" s="319"/>
      <c r="C34" s="536"/>
      <c r="D34" s="536"/>
      <c r="E34" s="319"/>
      <c r="F34" s="319"/>
      <c r="H34" s="323"/>
      <c r="I34" s="72" t="s">
        <v>321</v>
      </c>
      <c r="J34" s="262"/>
      <c r="K34" s="253">
        <v>0</v>
      </c>
      <c r="L34" s="241">
        <f>K35</f>
        <v>-165.64000000000001</v>
      </c>
      <c r="M34" s="241">
        <f t="shared" ref="M34:R34" si="19">L35</f>
        <v>-327.930025</v>
      </c>
      <c r="N34" s="241">
        <f t="shared" si="19"/>
        <v>-486.98668637499998</v>
      </c>
      <c r="O34" s="241">
        <f t="shared" si="19"/>
        <v>-642.59772456812493</v>
      </c>
      <c r="P34" s="241">
        <f t="shared" si="19"/>
        <v>-794.8472990426593</v>
      </c>
      <c r="Q34" s="241">
        <f t="shared" si="19"/>
        <v>-943.82543248462662</v>
      </c>
      <c r="R34" s="241">
        <f t="shared" si="19"/>
        <v>-1089.2127367946523</v>
      </c>
      <c r="S34" s="263"/>
    </row>
    <row r="35" spans="1:19" x14ac:dyDescent="0.2">
      <c r="B35" s="319"/>
      <c r="C35" s="536"/>
      <c r="D35" s="536"/>
      <c r="E35" s="319"/>
      <c r="F35" s="319"/>
      <c r="H35" s="323"/>
      <c r="I35" s="72" t="s">
        <v>322</v>
      </c>
      <c r="J35" s="262"/>
      <c r="K35" s="241">
        <f>K33+K34</f>
        <v>-165.64000000000001</v>
      </c>
      <c r="L35" s="241">
        <f>L33+L34</f>
        <v>-327.930025</v>
      </c>
      <c r="M35" s="241">
        <f t="shared" ref="M35:R35" si="20">M33+M34</f>
        <v>-486.98668637499998</v>
      </c>
      <c r="N35" s="241">
        <f t="shared" si="20"/>
        <v>-642.59772456812493</v>
      </c>
      <c r="O35" s="241">
        <f t="shared" si="20"/>
        <v>-794.8472990426593</v>
      </c>
      <c r="P35" s="241">
        <f t="shared" si="20"/>
        <v>-943.82543248462662</v>
      </c>
      <c r="Q35" s="241">
        <f t="shared" si="20"/>
        <v>-1089.2127367946523</v>
      </c>
      <c r="R35" s="241">
        <f t="shared" si="20"/>
        <v>-1231.0623354567228</v>
      </c>
      <c r="S35" s="263"/>
    </row>
    <row r="36" spans="1:19" x14ac:dyDescent="0.2">
      <c r="B36" s="319"/>
      <c r="C36" s="536"/>
      <c r="D36" s="536"/>
      <c r="E36" s="319"/>
      <c r="F36" s="319"/>
      <c r="H36" s="328"/>
      <c r="I36" s="265"/>
      <c r="J36" s="266"/>
      <c r="K36" s="247"/>
      <c r="L36" s="246"/>
      <c r="M36" s="246"/>
      <c r="N36" s="246"/>
      <c r="O36" s="246"/>
      <c r="P36" s="246"/>
      <c r="Q36" s="246"/>
      <c r="R36" s="246"/>
      <c r="S36" s="267"/>
    </row>
    <row r="37" spans="1:19" x14ac:dyDescent="0.2">
      <c r="B37" s="319"/>
      <c r="C37" s="536"/>
      <c r="D37" s="536"/>
      <c r="E37" s="319"/>
      <c r="F37" s="319"/>
      <c r="I37" s="72" t="s">
        <v>221</v>
      </c>
      <c r="J37" s="483" t="str">
        <f>IF(ABS(J20-J26)&gt;0.1,"ERROR","OK")</f>
        <v>OK</v>
      </c>
      <c r="K37" s="483" t="str">
        <f t="shared" ref="K37:R37" si="21">IF(ABS(K20-K26)&gt;0.1,"ERROR","OK")</f>
        <v>OK</v>
      </c>
      <c r="L37" s="483" t="str">
        <f t="shared" si="21"/>
        <v>OK</v>
      </c>
      <c r="M37" s="483" t="str">
        <f t="shared" si="21"/>
        <v>OK</v>
      </c>
      <c r="N37" s="483" t="str">
        <f t="shared" si="21"/>
        <v>OK</v>
      </c>
      <c r="O37" s="483" t="str">
        <f t="shared" si="21"/>
        <v>OK</v>
      </c>
      <c r="P37" s="483" t="str">
        <f t="shared" si="21"/>
        <v>OK</v>
      </c>
      <c r="Q37" s="483" t="str">
        <f>IF(ABS(Q20-Q26)&gt;0.1,"ERROR","OK")</f>
        <v>OK</v>
      </c>
      <c r="R37" s="483" t="str">
        <f t="shared" si="21"/>
        <v>OK</v>
      </c>
    </row>
    <row r="38" spans="1:19" x14ac:dyDescent="0.2">
      <c r="B38" s="319"/>
      <c r="C38" s="536"/>
      <c r="D38" s="536"/>
      <c r="E38" s="319"/>
      <c r="F38" s="319"/>
      <c r="I38" s="72"/>
      <c r="J38" s="262"/>
      <c r="K38" s="241"/>
      <c r="L38" s="241"/>
      <c r="M38" s="241"/>
      <c r="N38" s="241"/>
      <c r="O38" s="241"/>
      <c r="P38" s="241"/>
      <c r="Q38" s="241"/>
      <c r="R38" s="241"/>
    </row>
    <row r="39" spans="1:19" x14ac:dyDescent="0.2">
      <c r="B39" s="319"/>
      <c r="C39" s="536"/>
      <c r="D39" s="536"/>
      <c r="E39" s="319"/>
      <c r="F39" s="319"/>
      <c r="I39" s="72"/>
      <c r="J39" s="262"/>
      <c r="K39" s="241"/>
    </row>
    <row r="40" spans="1:19" x14ac:dyDescent="0.2">
      <c r="B40" s="319"/>
      <c r="C40" s="536"/>
      <c r="D40" s="536"/>
      <c r="E40" s="319"/>
      <c r="F40" s="319"/>
      <c r="J40" s="241"/>
    </row>
    <row r="41" spans="1:19" x14ac:dyDescent="0.2">
      <c r="B41" s="319"/>
      <c r="C41" s="536"/>
      <c r="D41" s="536"/>
      <c r="E41" s="319"/>
      <c r="F41" s="319"/>
      <c r="I41" s="5" t="s">
        <v>323</v>
      </c>
      <c r="J41" s="78" t="s">
        <v>324</v>
      </c>
      <c r="K41" s="642">
        <f>J13</f>
        <v>118.83</v>
      </c>
      <c r="L41" s="642">
        <f t="shared" ref="L41:R41" si="22">K13</f>
        <v>-66.105000000000018</v>
      </c>
      <c r="M41" s="642">
        <f t="shared" si="22"/>
        <v>-62.732700000000015</v>
      </c>
      <c r="N41" s="642">
        <f t="shared" si="22"/>
        <v>-59.476068000000012</v>
      </c>
      <c r="O41" s="642">
        <f t="shared" si="22"/>
        <v>-56.006192760000005</v>
      </c>
      <c r="P41" s="642">
        <f t="shared" si="22"/>
        <v>-52.619451253200019</v>
      </c>
      <c r="Q41" s="642">
        <f t="shared" si="22"/>
        <v>-49.32166284092402</v>
      </c>
      <c r="R41" s="642">
        <f t="shared" si="22"/>
        <v>-45.703370982970213</v>
      </c>
    </row>
    <row r="42" spans="1:19" x14ac:dyDescent="0.2">
      <c r="B42" s="319"/>
      <c r="C42" s="536"/>
      <c r="D42" s="536"/>
      <c r="E42" s="319"/>
      <c r="F42" s="319"/>
      <c r="I42" s="5" t="s">
        <v>325</v>
      </c>
      <c r="J42" s="78" t="s">
        <v>326</v>
      </c>
      <c r="K42" s="643">
        <f>'2-Valuation DCF'!$E$95</f>
        <v>25000</v>
      </c>
      <c r="L42" s="643">
        <f>'2-Valuation DCF'!$E$95</f>
        <v>25000</v>
      </c>
      <c r="M42" s="643">
        <f>'2-Valuation DCF'!$E$95</f>
        <v>25000</v>
      </c>
      <c r="N42" s="643">
        <f>'2-Valuation DCF'!$E$95</f>
        <v>25000</v>
      </c>
      <c r="O42" s="643">
        <f>'2-Valuation DCF'!$E$95</f>
        <v>25000</v>
      </c>
      <c r="P42" s="643">
        <f>'2-Valuation DCF'!$E$95</f>
        <v>25000</v>
      </c>
      <c r="Q42" s="643">
        <f>'2-Valuation DCF'!$E$95</f>
        <v>25000</v>
      </c>
      <c r="R42" s="643">
        <f>'2-Valuation DCF'!$E$95</f>
        <v>25000</v>
      </c>
    </row>
    <row r="43" spans="1:19" x14ac:dyDescent="0.2">
      <c r="B43" s="319"/>
      <c r="C43" s="536"/>
      <c r="D43" s="536"/>
      <c r="E43" s="319"/>
      <c r="F43" s="319"/>
      <c r="I43" s="16" t="s">
        <v>26</v>
      </c>
      <c r="J43" s="127" t="s">
        <v>63</v>
      </c>
      <c r="K43" s="642">
        <f>K41*1000/K42</f>
        <v>4.7531999999999996</v>
      </c>
      <c r="L43" s="642">
        <f t="shared" ref="L43:R43" si="23">L41*1000/L42</f>
        <v>-2.6442000000000005</v>
      </c>
      <c r="M43" s="642">
        <f t="shared" si="23"/>
        <v>-2.5093080000000008</v>
      </c>
      <c r="N43" s="642">
        <f t="shared" si="23"/>
        <v>-2.3790427200000006</v>
      </c>
      <c r="O43" s="642">
        <f t="shared" si="23"/>
        <v>-2.2402477104000003</v>
      </c>
      <c r="P43" s="642">
        <f t="shared" si="23"/>
        <v>-2.1047780501280005</v>
      </c>
      <c r="Q43" s="642">
        <f t="shared" si="23"/>
        <v>-1.972866513636961</v>
      </c>
      <c r="R43" s="642">
        <f t="shared" si="23"/>
        <v>-1.8281348393188086</v>
      </c>
    </row>
    <row r="44" spans="1:19" x14ac:dyDescent="0.2">
      <c r="B44" s="319"/>
      <c r="C44" s="536"/>
      <c r="D44" s="536"/>
      <c r="E44" s="319"/>
      <c r="F44" s="319"/>
      <c r="I44" s="5"/>
      <c r="J44" s="78"/>
    </row>
    <row r="45" spans="1:19" x14ac:dyDescent="0.2">
      <c r="B45" s="319"/>
      <c r="C45" s="536"/>
      <c r="D45" s="536"/>
      <c r="E45" s="319"/>
      <c r="F45" s="319"/>
      <c r="I45" s="5" t="s">
        <v>327</v>
      </c>
      <c r="J45" s="78" t="s">
        <v>324</v>
      </c>
      <c r="K45" s="241">
        <f>K21</f>
        <v>1047.6400000000001</v>
      </c>
      <c r="L45" s="241">
        <f t="shared" ref="L45:R45" si="24">L21</f>
        <v>1111.9300250000001</v>
      </c>
      <c r="M45" s="241">
        <f t="shared" si="24"/>
        <v>1172.9866863749999</v>
      </c>
      <c r="N45" s="241">
        <f t="shared" si="24"/>
        <v>1230.5977245681249</v>
      </c>
      <c r="O45" s="241">
        <f t="shared" si="24"/>
        <v>1284.8472990426594</v>
      </c>
      <c r="P45" s="241">
        <f t="shared" si="24"/>
        <v>1335.8254324846266</v>
      </c>
      <c r="Q45" s="241">
        <f t="shared" si="24"/>
        <v>1383.2127367946523</v>
      </c>
      <c r="R45" s="241">
        <f t="shared" si="24"/>
        <v>1427.0623354567228</v>
      </c>
    </row>
    <row r="46" spans="1:19" x14ac:dyDescent="0.2">
      <c r="B46" s="319"/>
      <c r="C46" s="536"/>
      <c r="D46" s="536"/>
      <c r="E46" s="319"/>
      <c r="F46" s="319"/>
      <c r="I46" s="5" t="s">
        <v>122</v>
      </c>
      <c r="J46" s="78" t="s">
        <v>324</v>
      </c>
      <c r="K46" s="241">
        <f>K7</f>
        <v>0</v>
      </c>
      <c r="L46" s="241">
        <f t="shared" ref="L46:R46" si="25">L7</f>
        <v>0</v>
      </c>
      <c r="M46" s="241">
        <f t="shared" si="25"/>
        <v>0</v>
      </c>
      <c r="N46" s="241">
        <f t="shared" si="25"/>
        <v>0</v>
      </c>
      <c r="O46" s="241">
        <f t="shared" si="25"/>
        <v>0</v>
      </c>
      <c r="P46" s="241">
        <f t="shared" si="25"/>
        <v>0</v>
      </c>
      <c r="Q46" s="241">
        <f t="shared" si="25"/>
        <v>0</v>
      </c>
      <c r="R46" s="241">
        <f t="shared" si="25"/>
        <v>0</v>
      </c>
    </row>
    <row r="47" spans="1:19" x14ac:dyDescent="0.2">
      <c r="B47" s="319"/>
      <c r="C47" s="536"/>
      <c r="D47" s="536"/>
      <c r="E47" s="319"/>
      <c r="F47" s="319"/>
      <c r="I47" s="16" t="s">
        <v>328</v>
      </c>
      <c r="J47" s="127" t="s">
        <v>66</v>
      </c>
      <c r="K47" s="641" t="e">
        <f>K45/K46</f>
        <v>#DIV/0!</v>
      </c>
      <c r="L47" s="641" t="e">
        <f t="shared" ref="L47:R47" si="26">L45/L46</f>
        <v>#DIV/0!</v>
      </c>
      <c r="M47" s="641" t="e">
        <f t="shared" si="26"/>
        <v>#DIV/0!</v>
      </c>
      <c r="N47" s="641" t="e">
        <f t="shared" si="26"/>
        <v>#DIV/0!</v>
      </c>
      <c r="O47" s="641" t="e">
        <f t="shared" si="26"/>
        <v>#DIV/0!</v>
      </c>
      <c r="P47" s="641" t="e">
        <f t="shared" si="26"/>
        <v>#DIV/0!</v>
      </c>
      <c r="Q47" s="641" t="e">
        <f t="shared" si="26"/>
        <v>#DIV/0!</v>
      </c>
      <c r="R47" s="641" t="e">
        <f t="shared" si="26"/>
        <v>#DIV/0!</v>
      </c>
    </row>
    <row r="48" spans="1:19" s="72" customFormat="1" x14ac:dyDescent="0.2">
      <c r="A48" s="324"/>
      <c r="B48" s="324"/>
      <c r="C48" s="689"/>
      <c r="D48" s="689"/>
      <c r="E48" s="324"/>
      <c r="F48" s="324"/>
      <c r="G48" s="324"/>
      <c r="H48" s="324"/>
      <c r="I48" s="5"/>
      <c r="J48" s="78"/>
      <c r="K48" s="262"/>
      <c r="L48" s="262"/>
      <c r="M48" s="262"/>
      <c r="N48" s="262"/>
      <c r="O48" s="262"/>
      <c r="P48" s="262"/>
      <c r="Q48" s="262"/>
      <c r="R48" s="262"/>
    </row>
    <row r="49" spans="1:19" s="72" customFormat="1" x14ac:dyDescent="0.2">
      <c r="A49" s="324"/>
      <c r="B49" s="324"/>
      <c r="C49" s="689"/>
      <c r="D49" s="689"/>
      <c r="E49" s="324"/>
      <c r="F49" s="324"/>
      <c r="G49" s="324"/>
      <c r="H49" s="324"/>
      <c r="I49" s="5" t="s">
        <v>122</v>
      </c>
      <c r="J49" s="78" t="s">
        <v>324</v>
      </c>
      <c r="K49" s="690">
        <f>-K7/K10</f>
        <v>0</v>
      </c>
      <c r="L49" s="690">
        <f t="shared" ref="L49:R49" si="27">-L7/L10</f>
        <v>0</v>
      </c>
      <c r="M49" s="690">
        <f t="shared" si="27"/>
        <v>0</v>
      </c>
      <c r="N49" s="690">
        <f t="shared" si="27"/>
        <v>0</v>
      </c>
      <c r="O49" s="690">
        <f t="shared" si="27"/>
        <v>0</v>
      </c>
      <c r="P49" s="690">
        <f t="shared" si="27"/>
        <v>0</v>
      </c>
      <c r="Q49" s="690">
        <f t="shared" si="27"/>
        <v>0</v>
      </c>
      <c r="R49" s="690">
        <f t="shared" si="27"/>
        <v>0</v>
      </c>
      <c r="S49" s="690"/>
    </row>
    <row r="50" spans="1:19" s="72" customFormat="1" x14ac:dyDescent="0.2">
      <c r="A50" s="324"/>
      <c r="B50" s="324"/>
      <c r="C50" s="689"/>
      <c r="D50" s="689"/>
      <c r="E50" s="324"/>
      <c r="F50" s="324"/>
      <c r="G50" s="324"/>
      <c r="H50" s="324"/>
      <c r="I50" s="5" t="s">
        <v>329</v>
      </c>
      <c r="J50" s="78" t="str">
        <f>J49</f>
        <v>m€</v>
      </c>
      <c r="K50" s="691">
        <f>-K10</f>
        <v>62.100000000000009</v>
      </c>
      <c r="L50" s="691">
        <f t="shared" ref="L50:R50" si="28">-L10</f>
        <v>55.890000000000008</v>
      </c>
      <c r="M50" s="691">
        <f t="shared" si="28"/>
        <v>49.680000000000007</v>
      </c>
      <c r="N50" s="691">
        <f t="shared" si="28"/>
        <v>43.47</v>
      </c>
      <c r="O50" s="691">
        <f t="shared" si="28"/>
        <v>37.260000000000005</v>
      </c>
      <c r="P50" s="691">
        <f t="shared" si="28"/>
        <v>31.050000000000004</v>
      </c>
      <c r="Q50" s="691">
        <f t="shared" si="28"/>
        <v>24.840000000000003</v>
      </c>
      <c r="R50" s="691">
        <f t="shared" si="28"/>
        <v>18.630000000000003</v>
      </c>
    </row>
    <row r="51" spans="1:19" s="72" customFormat="1" x14ac:dyDescent="0.2">
      <c r="A51" s="324"/>
      <c r="B51" s="324"/>
      <c r="C51" s="689"/>
      <c r="D51" s="689"/>
      <c r="E51" s="324"/>
      <c r="F51" s="324"/>
      <c r="G51" s="324"/>
      <c r="H51" s="324"/>
      <c r="I51" s="16" t="s">
        <v>330</v>
      </c>
      <c r="J51" s="127" t="s">
        <v>66</v>
      </c>
      <c r="K51" s="690">
        <f>K49/K50</f>
        <v>0</v>
      </c>
      <c r="L51" s="690">
        <f t="shared" ref="L51:R51" si="29">L49/L50</f>
        <v>0</v>
      </c>
      <c r="M51" s="690">
        <f t="shared" si="29"/>
        <v>0</v>
      </c>
      <c r="N51" s="690">
        <f t="shared" si="29"/>
        <v>0</v>
      </c>
      <c r="O51" s="690">
        <f t="shared" si="29"/>
        <v>0</v>
      </c>
      <c r="P51" s="690">
        <f t="shared" si="29"/>
        <v>0</v>
      </c>
      <c r="Q51" s="690">
        <f t="shared" si="29"/>
        <v>0</v>
      </c>
      <c r="R51" s="690">
        <f t="shared" si="29"/>
        <v>0</v>
      </c>
    </row>
    <row r="52" spans="1:19" s="72" customFormat="1" x14ac:dyDescent="0.2">
      <c r="A52" s="324"/>
      <c r="B52" s="324"/>
      <c r="C52" s="689"/>
      <c r="D52" s="689"/>
      <c r="E52" s="324"/>
      <c r="F52" s="324"/>
      <c r="G52" s="324"/>
      <c r="H52" s="324"/>
      <c r="I52" s="5"/>
      <c r="J52" s="78"/>
      <c r="K52" s="262"/>
      <c r="L52" s="262"/>
      <c r="M52" s="262"/>
      <c r="N52" s="262"/>
      <c r="O52" s="262"/>
      <c r="P52" s="262"/>
      <c r="Q52" s="262"/>
      <c r="R52" s="262"/>
    </row>
    <row r="53" spans="1:19" s="72" customFormat="1" x14ac:dyDescent="0.2">
      <c r="A53" s="324"/>
      <c r="B53" s="324"/>
      <c r="C53" s="689"/>
      <c r="D53" s="689"/>
      <c r="E53" s="324"/>
      <c r="F53" s="324"/>
      <c r="G53" s="324"/>
      <c r="H53" s="324"/>
      <c r="I53" s="5" t="s">
        <v>331</v>
      </c>
      <c r="J53" s="78" t="str">
        <f>J45</f>
        <v>m€</v>
      </c>
      <c r="K53" s="691">
        <f>K45</f>
        <v>1047.6400000000001</v>
      </c>
      <c r="L53" s="691">
        <f t="shared" ref="L53:R53" si="30">L45</f>
        <v>1111.9300250000001</v>
      </c>
      <c r="M53" s="691">
        <f t="shared" si="30"/>
        <v>1172.9866863749999</v>
      </c>
      <c r="N53" s="691">
        <f t="shared" si="30"/>
        <v>1230.5977245681249</v>
      </c>
      <c r="O53" s="691">
        <f t="shared" si="30"/>
        <v>1284.8472990426594</v>
      </c>
      <c r="P53" s="691">
        <f t="shared" si="30"/>
        <v>1335.8254324846266</v>
      </c>
      <c r="Q53" s="691">
        <f t="shared" si="30"/>
        <v>1383.2127367946523</v>
      </c>
      <c r="R53" s="691">
        <f t="shared" si="30"/>
        <v>1427.0623354567228</v>
      </c>
    </row>
    <row r="54" spans="1:19" s="72" customFormat="1" x14ac:dyDescent="0.2">
      <c r="A54" s="324"/>
      <c r="B54" s="324"/>
      <c r="C54" s="689"/>
      <c r="D54" s="689"/>
      <c r="E54" s="324"/>
      <c r="F54" s="324"/>
      <c r="G54" s="324"/>
      <c r="H54" s="324"/>
      <c r="I54" s="5" t="s">
        <v>15</v>
      </c>
      <c r="J54" s="78" t="str">
        <f>J46</f>
        <v>m€</v>
      </c>
      <c r="K54" s="691">
        <f>SUM(K24:K25)</f>
        <v>613.89499999999998</v>
      </c>
      <c r="L54" s="691">
        <f t="shared" ref="L54:R54" si="31">SUM(L24:L25)</f>
        <v>551.16229999999996</v>
      </c>
      <c r="M54" s="691">
        <f t="shared" si="31"/>
        <v>491.68623199999996</v>
      </c>
      <c r="N54" s="691">
        <f t="shared" si="31"/>
        <v>435.68003923999993</v>
      </c>
      <c r="O54" s="691">
        <f t="shared" si="31"/>
        <v>383.06058798679993</v>
      </c>
      <c r="P54" s="691">
        <f t="shared" si="31"/>
        <v>333.7389251458759</v>
      </c>
      <c r="Q54" s="691">
        <f t="shared" si="31"/>
        <v>288.03555416290567</v>
      </c>
      <c r="R54" s="691">
        <f t="shared" si="31"/>
        <v>245.89851463078696</v>
      </c>
    </row>
    <row r="55" spans="1:19" s="72" customFormat="1" x14ac:dyDescent="0.2">
      <c r="A55" s="324"/>
      <c r="B55" s="324"/>
      <c r="C55" s="689"/>
      <c r="D55" s="689"/>
      <c r="E55" s="324"/>
      <c r="F55" s="324"/>
      <c r="G55" s="324"/>
      <c r="H55" s="324"/>
      <c r="I55" s="16" t="s">
        <v>332</v>
      </c>
      <c r="J55" s="127" t="s">
        <v>66</v>
      </c>
      <c r="K55" s="690">
        <f>K53/K54</f>
        <v>1.7065459076877969</v>
      </c>
      <c r="L55" s="690">
        <f t="shared" ref="L55:R55" si="32">L53/L54</f>
        <v>2.0174275798616854</v>
      </c>
      <c r="M55" s="690">
        <f t="shared" si="32"/>
        <v>2.3856406993617019</v>
      </c>
      <c r="N55" s="690">
        <f t="shared" si="32"/>
        <v>2.8245446514253421</v>
      </c>
      <c r="O55" s="690">
        <f t="shared" si="32"/>
        <v>3.3541620812395729</v>
      </c>
      <c r="P55" s="690">
        <f t="shared" si="32"/>
        <v>4.0026060247564557</v>
      </c>
      <c r="Q55" s="690">
        <f t="shared" si="32"/>
        <v>4.8022291581835139</v>
      </c>
      <c r="R55" s="690">
        <f t="shared" si="32"/>
        <v>5.8034605764066374</v>
      </c>
    </row>
    <row r="56" spans="1:19" s="72" customFormat="1" x14ac:dyDescent="0.2">
      <c r="A56" s="324"/>
      <c r="B56" s="324"/>
      <c r="C56" s="689"/>
      <c r="D56" s="689"/>
      <c r="E56" s="324"/>
      <c r="F56" s="324"/>
      <c r="G56" s="324"/>
      <c r="H56" s="324"/>
      <c r="I56" s="5"/>
      <c r="J56" s="78"/>
      <c r="K56" s="262"/>
      <c r="L56" s="262"/>
      <c r="M56" s="262"/>
      <c r="N56" s="262"/>
      <c r="O56" s="262"/>
      <c r="P56" s="262"/>
      <c r="Q56" s="262"/>
      <c r="R56" s="262"/>
    </row>
    <row r="57" spans="1:19" x14ac:dyDescent="0.2">
      <c r="B57" s="319"/>
      <c r="C57" s="536"/>
      <c r="D57" s="536"/>
      <c r="E57" s="319"/>
      <c r="F57" s="319"/>
      <c r="I57" s="5" t="s">
        <v>333</v>
      </c>
      <c r="J57" s="78" t="str">
        <f>J41</f>
        <v>m€</v>
      </c>
      <c r="K57" s="642">
        <f>K9*(1-'1-Cockpit&amp;assumptions'!$E$156)</f>
        <v>-19.53</v>
      </c>
      <c r="L57" s="642">
        <f>L9*(1-'1-Cockpit&amp;assumptions'!$E$156)</f>
        <v>-20.815200000000004</v>
      </c>
      <c r="M57" s="642">
        <f>M9*(1-'1-Cockpit&amp;assumptions'!$E$156)</f>
        <v>-22.216068000000003</v>
      </c>
      <c r="N57" s="642">
        <f>N9*(1-'1-Cockpit&amp;assumptions'!$E$156)</f>
        <v>-23.403692760000006</v>
      </c>
      <c r="O57" s="642">
        <f>O9*(1-'1-Cockpit&amp;assumptions'!$E$156)</f>
        <v>-24.674451253200012</v>
      </c>
      <c r="P57" s="642">
        <f>P9*(1-'1-Cockpit&amp;assumptions'!$E$156)</f>
        <v>-26.034162840924012</v>
      </c>
      <c r="Q57" s="642">
        <f>Q9*(1-'1-Cockpit&amp;assumptions'!$E$156)</f>
        <v>-27.073370982970214</v>
      </c>
      <c r="R57" s="642">
        <f>R9*(1-'1-Cockpit&amp;assumptions'!$E$156)</f>
        <v>-28.16453953211872</v>
      </c>
    </row>
    <row r="58" spans="1:19" x14ac:dyDescent="0.2">
      <c r="B58" s="319"/>
      <c r="C58" s="536"/>
      <c r="D58" s="536"/>
      <c r="E58" s="319"/>
      <c r="F58" s="319"/>
      <c r="I58" s="5" t="s">
        <v>309</v>
      </c>
      <c r="J58" s="78" t="str">
        <f>J57</f>
        <v>m€</v>
      </c>
      <c r="K58" s="241">
        <f>K20</f>
        <v>1661.5350000000001</v>
      </c>
      <c r="L58" s="241">
        <f t="shared" ref="L58:R58" si="33">L20</f>
        <v>1663.0923250000001</v>
      </c>
      <c r="M58" s="241">
        <f t="shared" si="33"/>
        <v>1664.6729183750001</v>
      </c>
      <c r="N58" s="241">
        <f t="shared" si="33"/>
        <v>1666.277763808125</v>
      </c>
      <c r="O58" s="241">
        <f t="shared" si="33"/>
        <v>1667.9078870294593</v>
      </c>
      <c r="P58" s="241">
        <f t="shared" si="33"/>
        <v>1669.5643576305026</v>
      </c>
      <c r="Q58" s="241">
        <f t="shared" si="33"/>
        <v>1671.2482909575581</v>
      </c>
      <c r="R58" s="241">
        <f t="shared" si="33"/>
        <v>1672.9608500875099</v>
      </c>
    </row>
    <row r="59" spans="1:19" x14ac:dyDescent="0.2">
      <c r="B59" s="319"/>
      <c r="C59" s="536"/>
      <c r="D59" s="536"/>
      <c r="E59" s="319"/>
      <c r="F59" s="319"/>
      <c r="I59" s="16" t="s">
        <v>334</v>
      </c>
      <c r="J59" s="127" t="s">
        <v>12</v>
      </c>
      <c r="K59" s="644">
        <f>K57/K58</f>
        <v>-1.1754191154564905E-2</v>
      </c>
      <c r="L59" s="644">
        <f t="shared" ref="L59:R59" si="34">L57/L58</f>
        <v>-1.2515961794243746E-2</v>
      </c>
      <c r="M59" s="644">
        <f t="shared" si="34"/>
        <v>-1.3345605466860488E-2</v>
      </c>
      <c r="N59" s="644">
        <f t="shared" si="34"/>
        <v>-1.4045493055439336E-2</v>
      </c>
      <c r="O59" s="644">
        <f t="shared" si="34"/>
        <v>-1.4793653441584932E-2</v>
      </c>
      <c r="P59" s="644">
        <f t="shared" si="34"/>
        <v>-1.5593386814912904E-2</v>
      </c>
      <c r="Q59" s="644">
        <f t="shared" si="34"/>
        <v>-1.6199490601996824E-2</v>
      </c>
      <c r="R59" s="644">
        <f t="shared" si="34"/>
        <v>-1.6835145622592113E-2</v>
      </c>
    </row>
    <row r="60" spans="1:19" x14ac:dyDescent="0.2">
      <c r="B60" s="319"/>
      <c r="C60" s="536"/>
      <c r="D60" s="536"/>
      <c r="E60" s="319"/>
      <c r="F60" s="319"/>
      <c r="I60" s="5"/>
      <c r="J60" s="78"/>
    </row>
    <row r="61" spans="1:19" x14ac:dyDescent="0.2">
      <c r="B61" s="319"/>
      <c r="C61" s="536"/>
      <c r="D61" s="536"/>
      <c r="E61" s="319"/>
      <c r="F61" s="319"/>
      <c r="I61" s="5" t="s">
        <v>323</v>
      </c>
      <c r="J61" s="78" t="str">
        <f>J57</f>
        <v>m€</v>
      </c>
      <c r="K61" s="642">
        <f>K41</f>
        <v>118.83</v>
      </c>
      <c r="L61" s="642">
        <f t="shared" ref="L61:R61" si="35">L41</f>
        <v>-66.105000000000018</v>
      </c>
      <c r="M61" s="642">
        <f t="shared" si="35"/>
        <v>-62.732700000000015</v>
      </c>
      <c r="N61" s="642">
        <f t="shared" si="35"/>
        <v>-59.476068000000012</v>
      </c>
      <c r="O61" s="642">
        <f t="shared" si="35"/>
        <v>-56.006192760000005</v>
      </c>
      <c r="P61" s="642">
        <f t="shared" si="35"/>
        <v>-52.619451253200019</v>
      </c>
      <c r="Q61" s="642">
        <f t="shared" si="35"/>
        <v>-49.32166284092402</v>
      </c>
      <c r="R61" s="642">
        <f t="shared" si="35"/>
        <v>-45.703370982970213</v>
      </c>
    </row>
    <row r="62" spans="1:19" x14ac:dyDescent="0.2">
      <c r="B62" s="319"/>
      <c r="C62" s="536"/>
      <c r="D62" s="536"/>
      <c r="E62" s="319"/>
      <c r="F62" s="319"/>
      <c r="I62" s="5" t="s">
        <v>15</v>
      </c>
      <c r="J62" s="78" t="str">
        <f>J58</f>
        <v>m€</v>
      </c>
      <c r="K62" s="241">
        <f>SUM(K24:K25)</f>
        <v>613.89499999999998</v>
      </c>
      <c r="L62" s="241">
        <f t="shared" ref="L62:R62" si="36">SUM(L24:L25)</f>
        <v>551.16229999999996</v>
      </c>
      <c r="M62" s="241">
        <f t="shared" si="36"/>
        <v>491.68623199999996</v>
      </c>
      <c r="N62" s="241">
        <f t="shared" si="36"/>
        <v>435.68003923999993</v>
      </c>
      <c r="O62" s="241">
        <f t="shared" si="36"/>
        <v>383.06058798679993</v>
      </c>
      <c r="P62" s="241">
        <f t="shared" si="36"/>
        <v>333.7389251458759</v>
      </c>
      <c r="Q62" s="241">
        <f t="shared" si="36"/>
        <v>288.03555416290567</v>
      </c>
      <c r="R62" s="241">
        <f t="shared" si="36"/>
        <v>245.89851463078696</v>
      </c>
    </row>
    <row r="63" spans="1:19" x14ac:dyDescent="0.2">
      <c r="B63" s="319"/>
      <c r="C63" s="536"/>
      <c r="D63" s="536"/>
      <c r="E63" s="319"/>
      <c r="F63" s="319"/>
      <c r="I63" s="16" t="s">
        <v>335</v>
      </c>
      <c r="J63" s="128" t="s">
        <v>12</v>
      </c>
      <c r="K63" s="644">
        <f>K61/K62</f>
        <v>0.19356730385489376</v>
      </c>
      <c r="L63" s="644">
        <f t="shared" ref="L63:R63" si="37">L61/L62</f>
        <v>-0.11993744855190572</v>
      </c>
      <c r="M63" s="644">
        <f t="shared" si="37"/>
        <v>-0.12758685502505593</v>
      </c>
      <c r="N63" s="644">
        <f t="shared" si="37"/>
        <v>-0.13651318087408834</v>
      </c>
      <c r="O63" s="644">
        <f t="shared" si="37"/>
        <v>-0.14620713933099783</v>
      </c>
      <c r="P63" s="644">
        <f t="shared" si="37"/>
        <v>-0.15766650902408305</v>
      </c>
      <c r="Q63" s="644">
        <f t="shared" si="37"/>
        <v>-0.17123463450289517</v>
      </c>
      <c r="R63" s="644">
        <f t="shared" si="37"/>
        <v>-0.18586273711979578</v>
      </c>
    </row>
    <row r="64" spans="1:19" x14ac:dyDescent="0.2">
      <c r="B64" s="319"/>
      <c r="C64" s="536"/>
      <c r="D64" s="536"/>
      <c r="E64" s="319"/>
      <c r="F64" s="319"/>
      <c r="I64" s="5"/>
      <c r="J64" s="78"/>
    </row>
    <row r="65" spans="7:18" x14ac:dyDescent="0.2">
      <c r="G65" s="324"/>
      <c r="I65" s="5" t="s">
        <v>222</v>
      </c>
      <c r="J65" s="78" t="str">
        <f>J61</f>
        <v>m€</v>
      </c>
      <c r="K65" s="241">
        <f>'2-Valuation DCF'!F213</f>
        <v>0</v>
      </c>
      <c r="L65" s="241">
        <f>'2-Valuation DCF'!G213</f>
        <v>0</v>
      </c>
      <c r="M65" s="241">
        <f>'2-Valuation DCF'!H213</f>
        <v>0</v>
      </c>
      <c r="N65" s="241">
        <f>'2-Valuation DCF'!I213</f>
        <v>0</v>
      </c>
      <c r="O65" s="241">
        <f>'2-Valuation DCF'!J213</f>
        <v>0</v>
      </c>
      <c r="P65" s="241">
        <f>'2-Valuation DCF'!K213</f>
        <v>0</v>
      </c>
      <c r="Q65" s="241">
        <f>'2-Valuation DCF'!L213</f>
        <v>0</v>
      </c>
      <c r="R65" s="241">
        <f>'2-Valuation DCF'!M213</f>
        <v>0</v>
      </c>
    </row>
    <row r="66" spans="7:18" x14ac:dyDescent="0.2">
      <c r="I66" s="5" t="s">
        <v>223</v>
      </c>
      <c r="J66" s="78" t="str">
        <f>J62</f>
        <v>m€</v>
      </c>
      <c r="K66" s="241">
        <f>'2-Valuation DCF'!F245</f>
        <v>0</v>
      </c>
      <c r="L66" s="241">
        <f>'2-Valuation DCF'!G245</f>
        <v>0</v>
      </c>
      <c r="M66" s="241">
        <f>'2-Valuation DCF'!H245</f>
        <v>0</v>
      </c>
      <c r="N66" s="241">
        <f>'2-Valuation DCF'!I245</f>
        <v>0</v>
      </c>
      <c r="O66" s="241">
        <f>'2-Valuation DCF'!J245</f>
        <v>0</v>
      </c>
      <c r="P66" s="241">
        <f>'2-Valuation DCF'!K245</f>
        <v>0</v>
      </c>
      <c r="Q66" s="241">
        <f>'2-Valuation DCF'!L245</f>
        <v>0</v>
      </c>
      <c r="R66" s="241">
        <f>'2-Valuation DCF'!M245</f>
        <v>0</v>
      </c>
    </row>
    <row r="67" spans="7:18" x14ac:dyDescent="0.2">
      <c r="I67" s="16" t="s">
        <v>188</v>
      </c>
      <c r="J67" s="127" t="s">
        <v>66</v>
      </c>
      <c r="K67" s="241" t="e">
        <f>K65/K66</f>
        <v>#DIV/0!</v>
      </c>
      <c r="L67" s="241" t="e">
        <f t="shared" ref="L67:R67" si="38">L65/L66</f>
        <v>#DIV/0!</v>
      </c>
      <c r="M67" s="241" t="e">
        <f t="shared" si="38"/>
        <v>#DIV/0!</v>
      </c>
      <c r="N67" s="241" t="e">
        <f t="shared" si="38"/>
        <v>#DIV/0!</v>
      </c>
      <c r="O67" s="241" t="e">
        <f t="shared" si="38"/>
        <v>#DIV/0!</v>
      </c>
      <c r="P67" s="241" t="e">
        <f t="shared" si="38"/>
        <v>#DIV/0!</v>
      </c>
      <c r="Q67" s="241" t="e">
        <f t="shared" si="38"/>
        <v>#DIV/0!</v>
      </c>
      <c r="R67" s="241" t="e">
        <f t="shared" si="38"/>
        <v>#DIV/0!</v>
      </c>
    </row>
  </sheetData>
  <conditionalFormatting sqref="C21:D21 C22">
    <cfRule type="cellIs" dxfId="0" priority="1" stopIfTrue="1" operator="lessThan">
      <formula>0</formula>
    </cfRule>
  </conditionalFormatting>
  <pageMargins left="0.7" right="0.7" top="0.75" bottom="0.75" header="0.3" footer="0.3"/>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F2D46DFCC1CB940AE35D6404023CFEF" ma:contentTypeVersion="18" ma:contentTypeDescription="Crée un document." ma:contentTypeScope="" ma:versionID="57c81002134b6b58cac0ff43bcf0a254">
  <xsd:schema xmlns:xsd="http://www.w3.org/2001/XMLSchema" xmlns:xs="http://www.w3.org/2001/XMLSchema" xmlns:p="http://schemas.microsoft.com/office/2006/metadata/properties" xmlns:ns3="375accfd-1386-4e79-9b46-dd3aa418e0c2" xmlns:ns4="0219ad6e-57f2-430b-a3c2-15fca8b8ee2e" targetNamespace="http://schemas.microsoft.com/office/2006/metadata/properties" ma:root="true" ma:fieldsID="5995c254f60df7d724aed17b20906724" ns3:_="" ns4:_="">
    <xsd:import namespace="375accfd-1386-4e79-9b46-dd3aa418e0c2"/>
    <xsd:import namespace="0219ad6e-57f2-430b-a3c2-15fca8b8ee2e"/>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4:SharedWithUsers" minOccurs="0"/>
                <xsd:element ref="ns4:SharedWithDetails" minOccurs="0"/>
                <xsd:element ref="ns4:SharingHintHash" minOccurs="0"/>
                <xsd:element ref="ns3:MediaServiceOCR" minOccurs="0"/>
                <xsd:element ref="ns3:MediaServiceAutoKeyPoints" minOccurs="0"/>
                <xsd:element ref="ns3:MediaServiceKeyPoints" minOccurs="0"/>
                <xsd:element ref="ns3:MediaServiceGenerationTime" minOccurs="0"/>
                <xsd:element ref="ns3:MediaServiceEventHashCode" minOccurs="0"/>
                <xsd:element ref="ns3:MediaServiceLocation" minOccurs="0"/>
                <xsd:element ref="ns3:MediaLengthInSeconds"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75accfd-1386-4e79-9b46-dd3aa418e0c2"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219ad6e-57f2-430b-a3c2-15fca8b8ee2e" elementFormDefault="qualified">
    <xsd:import namespace="http://schemas.microsoft.com/office/2006/documentManagement/types"/>
    <xsd:import namespace="http://schemas.microsoft.com/office/infopath/2007/PartnerControls"/>
    <xsd:element name="SharedWithUsers" ma:index="12"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Partagé avec détails" ma:internalName="SharedWithDetails" ma:readOnly="true">
      <xsd:simpleType>
        <xsd:restriction base="dms:Note">
          <xsd:maxLength value="255"/>
        </xsd:restriction>
      </xsd:simpleType>
    </xsd:element>
    <xsd:element name="SharingHintHash" ma:index="14"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375accfd-1386-4e79-9b46-dd3aa418e0c2" xsi:nil="true"/>
  </documentManagement>
</p:properties>
</file>

<file path=customXml/itemProps1.xml><?xml version="1.0" encoding="utf-8"?>
<ds:datastoreItem xmlns:ds="http://schemas.openxmlformats.org/officeDocument/2006/customXml" ds:itemID="{2625C5D1-1B1C-4C3F-9548-19A4944307BA}">
  <ds:schemaRefs>
    <ds:schemaRef ds:uri="http://schemas.microsoft.com/sharepoint/v3/contenttype/forms"/>
  </ds:schemaRefs>
</ds:datastoreItem>
</file>

<file path=customXml/itemProps2.xml><?xml version="1.0" encoding="utf-8"?>
<ds:datastoreItem xmlns:ds="http://schemas.openxmlformats.org/officeDocument/2006/customXml" ds:itemID="{826CDDE4-0583-4682-AD29-D6CA80FC1B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75accfd-1386-4e79-9b46-dd3aa418e0c2"/>
    <ds:schemaRef ds:uri="0219ad6e-57f2-430b-a3c2-15fca8b8ee2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89B56B7-3E46-409D-8A91-D30AACCA083C}">
  <ds:schemaRefs>
    <ds:schemaRef ds:uri="http://purl.org/dc/dcmitype/"/>
    <ds:schemaRef ds:uri="http://schemas.openxmlformats.org/package/2006/metadata/core-properties"/>
    <ds:schemaRef ds:uri="http://schemas.microsoft.com/office/2006/documentManagement/types"/>
    <ds:schemaRef ds:uri="http://purl.org/dc/terms/"/>
    <ds:schemaRef ds:uri="http://www.w3.org/XML/1998/namespace"/>
    <ds:schemaRef ds:uri="http://schemas.microsoft.com/office/2006/metadata/properties"/>
    <ds:schemaRef ds:uri="0219ad6e-57f2-430b-a3c2-15fca8b8ee2e"/>
    <ds:schemaRef ds:uri="http://schemas.microsoft.com/office/infopath/2007/PartnerControls"/>
    <ds:schemaRef ds:uri="375accfd-1386-4e79-9b46-dd3aa418e0c2"/>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15</vt:i4>
      </vt:variant>
    </vt:vector>
  </HeadingPairs>
  <TitlesOfParts>
    <vt:vector size="20" baseType="lpstr">
      <vt:lpstr>Contents=&gt;</vt:lpstr>
      <vt:lpstr>1-Cockpit&amp;assumptions</vt:lpstr>
      <vt:lpstr>2-Valuation DCF</vt:lpstr>
      <vt:lpstr>3-Valuation Multiples</vt:lpstr>
      <vt:lpstr>4-Financial Projections</vt:lpstr>
      <vt:lpstr>BuyerDCF</vt:lpstr>
      <vt:lpstr>Cockpit1</vt:lpstr>
      <vt:lpstr>Cockpit2</vt:lpstr>
      <vt:lpstr>Cockpit3</vt:lpstr>
      <vt:lpstr>Cockpit4</vt:lpstr>
      <vt:lpstr>Consolidated</vt:lpstr>
      <vt:lpstr>CreditorsCostraints</vt:lpstr>
      <vt:lpstr>FCFE</vt:lpstr>
      <vt:lpstr>Financing</vt:lpstr>
      <vt:lpstr>Method1</vt:lpstr>
      <vt:lpstr>Multiples1</vt:lpstr>
      <vt:lpstr>Multiples2</vt:lpstr>
      <vt:lpstr>Synergies</vt:lpstr>
      <vt:lpstr>TargetDCF</vt:lpstr>
      <vt:lpstr>TargetDCF1</vt:lpstr>
    </vt:vector>
  </TitlesOfParts>
  <Manager/>
  <Company>HOME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CELESTE</dc:creator>
  <cp:keywords/>
  <dc:description/>
  <cp:lastModifiedBy>Asus</cp:lastModifiedBy>
  <cp:revision/>
  <cp:lastPrinted>2024-11-13T10:51:38Z</cp:lastPrinted>
  <dcterms:created xsi:type="dcterms:W3CDTF">2015-09-19T14:02:53Z</dcterms:created>
  <dcterms:modified xsi:type="dcterms:W3CDTF">2024-11-20T11:33:16Z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0x010100BF2D46DFCC1CB940AE35D6404023CFEF</vt:lpwstr>
  </property>
  <property fmtid="{D5CDD505-2E9C-101B-9397-08002B2CF9AE}" pid="3" name="_ColorHex">
    <vt:lpwstr/>
  </property>
  <property fmtid="{D5CDD505-2E9C-101B-9397-08002B2CF9AE}" pid="4" name="_Emoji">
    <vt:lpwstr/>
  </property>
  <property fmtid="{D5CDD505-2E9C-101B-9397-08002B2CF9AE}" pid="5" name="ComplianceAssetId">
    <vt:lpwstr/>
  </property>
  <property fmtid="{D5CDD505-2E9C-101B-9397-08002B2CF9AE}" pid="6" name="_ExtendedDescription">
    <vt:lpwstr/>
  </property>
  <property fmtid="{D5CDD505-2E9C-101B-9397-08002B2CF9AE}" pid="7" name="_ColorTag">
    <vt:lpwstr/>
  </property>
  <property fmtid="{D5CDD505-2E9C-101B-9397-08002B2CF9AE}" pid="8" name="TriggerFlowInfo">
    <vt:lpwstr/>
  </property>
</Properties>
</file>