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4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asudevdadhich/Downloads/"/>
    </mc:Choice>
  </mc:AlternateContent>
  <xr:revisionPtr revIDLastSave="0" documentId="13_ncr:1_{81673D39-AD62-8B4A-85DB-94FFA03D8260}" xr6:coauthVersionLast="47" xr6:coauthVersionMax="47" xr10:uidLastSave="{00000000-0000-0000-0000-000000000000}"/>
  <bookViews>
    <workbookView xWindow="0" yWindow="0" windowWidth="28800" windowHeight="18000" tabRatio="830" activeTab="4" xr2:uid="{00000000-000D-0000-FFFF-FFFF00000000}"/>
  </bookViews>
  <sheets>
    <sheet name="Agenda" sheetId="10" r:id="rId1"/>
    <sheet name="Cockpit" sheetId="13" r:id="rId2"/>
    <sheet name="Revenue" sheetId="1" r:id="rId3"/>
    <sheet name="Fuel" sheetId="2" r:id="rId4"/>
    <sheet name="Crew" sheetId="5" r:id="rId5"/>
    <sheet name="Leasing" sheetId="7" r:id="rId6"/>
    <sheet name="Tech &amp; Other costs" sheetId="6" r:id="rId7"/>
    <sheet name="CAPEX" sheetId="17" r:id="rId8"/>
    <sheet name="WCR" sheetId="3" r:id="rId9"/>
    <sheet name="Fundings" sheetId="18" r:id="rId10"/>
    <sheet name="P&amp;L" sheetId="15" r:id="rId11"/>
    <sheet name="Feuil1" sheetId="16" state="hidden" r:id="rId12"/>
    <sheet name="Break Even" sheetId="14" r:id="rId13"/>
    <sheet name="Cash Flows" sheetId="4" r:id="rId14"/>
    <sheet name="Balance Sheet" sheetId="19" r:id="rId15"/>
    <sheet name="1.P&amp;L fuel risk" sheetId="21" state="hidden" r:id="rId16"/>
    <sheet name="2.P&amp;L FX" sheetId="23" state="hidden" r:id="rId17"/>
    <sheet name="3.P&amp;L regul" sheetId="22" state="hidden" r:id="rId18"/>
    <sheet name="4.Risk scenarios simultaneously" sheetId="25" state="hidden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19" l="1"/>
  <c r="D14" i="19"/>
  <c r="D33" i="19" l="1"/>
  <c r="E33" i="19" s="1"/>
  <c r="F33" i="19" s="1"/>
  <c r="G33" i="19" s="1"/>
  <c r="H33" i="19" s="1"/>
  <c r="I33" i="19" s="1"/>
  <c r="F19" i="18"/>
  <c r="F23" i="18"/>
  <c r="G23" i="18"/>
  <c r="C28" i="19"/>
  <c r="C29" i="19" s="1"/>
  <c r="C13" i="19"/>
  <c r="E9" i="4"/>
  <c r="G53" i="18" l="1"/>
  <c r="G47" i="18"/>
  <c r="E48" i="18"/>
  <c r="D48" i="18"/>
  <c r="G20" i="18"/>
  <c r="G19" i="18"/>
  <c r="G18" i="18"/>
  <c r="G12" i="18"/>
  <c r="C27" i="18" l="1"/>
  <c r="F36" i="18"/>
  <c r="F24" i="18"/>
  <c r="F37" i="18" s="1"/>
  <c r="F17" i="18"/>
  <c r="G30" i="18"/>
  <c r="C44" i="18" l="1"/>
  <c r="C56" i="18"/>
  <c r="F21" i="18"/>
  <c r="G17" i="18"/>
  <c r="D53" i="3"/>
  <c r="D23" i="19" s="1"/>
  <c r="D52" i="3"/>
  <c r="D22" i="19" s="1"/>
  <c r="G8" i="18"/>
  <c r="G7" i="18"/>
  <c r="C16" i="19" s="1"/>
  <c r="D16" i="19" s="1"/>
  <c r="E16" i="19" s="1"/>
  <c r="F16" i="19" s="1"/>
  <c r="G16" i="19" s="1"/>
  <c r="H16" i="19" s="1"/>
  <c r="I16" i="19" s="1"/>
  <c r="G6" i="18"/>
  <c r="C15" i="19" s="1"/>
  <c r="F9" i="18"/>
  <c r="F11" i="18" s="1"/>
  <c r="F12" i="18" s="1"/>
  <c r="E9" i="18"/>
  <c r="E11" i="18" s="1"/>
  <c r="D9" i="18"/>
  <c r="D11" i="18" s="1"/>
  <c r="F16" i="15"/>
  <c r="F21" i="14" s="1"/>
  <c r="D17" i="15"/>
  <c r="D20" i="14" s="1"/>
  <c r="D16" i="15"/>
  <c r="D21" i="14" s="1"/>
  <c r="F19" i="6"/>
  <c r="G19" i="6" s="1"/>
  <c r="H19" i="6" s="1"/>
  <c r="I19" i="6" s="1"/>
  <c r="E19" i="6"/>
  <c r="E16" i="15" s="1"/>
  <c r="E21" i="14" s="1"/>
  <c r="E17" i="6"/>
  <c r="E17" i="15" s="1"/>
  <c r="E20" i="14" s="1"/>
  <c r="E23" i="14" s="1"/>
  <c r="E10" i="7"/>
  <c r="D10" i="7"/>
  <c r="D8" i="17"/>
  <c r="H20" i="15" s="1"/>
  <c r="E7" i="6"/>
  <c r="F7" i="6" s="1"/>
  <c r="G7" i="6" s="1"/>
  <c r="H7" i="6" s="1"/>
  <c r="I7" i="6" s="1"/>
  <c r="F9" i="5"/>
  <c r="F11" i="5"/>
  <c r="D31" i="5" s="1"/>
  <c r="E31" i="5" s="1"/>
  <c r="F31" i="5" s="1"/>
  <c r="G31" i="5" s="1"/>
  <c r="H31" i="5" s="1"/>
  <c r="I31" i="5" s="1"/>
  <c r="E9" i="5"/>
  <c r="E17" i="5"/>
  <c r="F17" i="5" s="1"/>
  <c r="F19" i="5" s="1"/>
  <c r="D32" i="5" s="1"/>
  <c r="E32" i="5" s="1"/>
  <c r="F32" i="5" s="1"/>
  <c r="G32" i="5" s="1"/>
  <c r="H32" i="5" s="1"/>
  <c r="I32" i="5" s="1"/>
  <c r="I34" i="5"/>
  <c r="H34" i="5"/>
  <c r="G34" i="5"/>
  <c r="F34" i="5"/>
  <c r="E34" i="5"/>
  <c r="D34" i="5"/>
  <c r="D16" i="2"/>
  <c r="D17" i="2" s="1"/>
  <c r="D19" i="2" s="1"/>
  <c r="G14" i="18" l="1"/>
  <c r="G27" i="18" s="1"/>
  <c r="C7" i="19"/>
  <c r="C10" i="19" s="1"/>
  <c r="C18" i="19" s="1"/>
  <c r="E20" i="15"/>
  <c r="G16" i="15"/>
  <c r="G21" i="14" s="1"/>
  <c r="F32" i="18"/>
  <c r="F38" i="18" s="1"/>
  <c r="F22" i="18"/>
  <c r="F17" i="6"/>
  <c r="H16" i="15"/>
  <c r="H21" i="14" s="1"/>
  <c r="D15" i="19"/>
  <c r="C17" i="19"/>
  <c r="E24" i="18"/>
  <c r="E37" i="18" s="1"/>
  <c r="E12" i="18"/>
  <c r="E21" i="18" s="1"/>
  <c r="D24" i="18"/>
  <c r="D37" i="18" s="1"/>
  <c r="D12" i="18"/>
  <c r="D21" i="18" s="1"/>
  <c r="G9" i="18"/>
  <c r="F20" i="15"/>
  <c r="G20" i="15"/>
  <c r="D20" i="15"/>
  <c r="I26" i="2"/>
  <c r="H26" i="2"/>
  <c r="F26" i="2"/>
  <c r="E16" i="2"/>
  <c r="E17" i="2" s="1"/>
  <c r="E9" i="2"/>
  <c r="F9" i="2" s="1"/>
  <c r="G9" i="2" s="1"/>
  <c r="E10" i="2"/>
  <c r="D10" i="2"/>
  <c r="D12" i="2" s="1"/>
  <c r="I8" i="2"/>
  <c r="H8" i="2"/>
  <c r="G8" i="2"/>
  <c r="F8" i="2"/>
  <c r="E8" i="2"/>
  <c r="D8" i="2"/>
  <c r="D9" i="1"/>
  <c r="D4" i="15" s="1"/>
  <c r="I13" i="1"/>
  <c r="H13" i="1"/>
  <c r="H5" i="15" s="1"/>
  <c r="G13" i="1"/>
  <c r="G5" i="15" s="1"/>
  <c r="F13" i="1"/>
  <c r="D13" i="1"/>
  <c r="D5" i="15" s="1"/>
  <c r="D6" i="15" s="1"/>
  <c r="D9" i="14" s="1"/>
  <c r="E11" i="1"/>
  <c r="F11" i="1" s="1"/>
  <c r="G11" i="1" s="1"/>
  <c r="H11" i="1" s="1"/>
  <c r="I11" i="1" s="1"/>
  <c r="E7" i="1"/>
  <c r="E9" i="1" s="1"/>
  <c r="I16" i="1"/>
  <c r="H16" i="1"/>
  <c r="G16" i="1"/>
  <c r="F16" i="1"/>
  <c r="E16" i="1"/>
  <c r="D16" i="1"/>
  <c r="E4" i="15" l="1"/>
  <c r="F48" i="18"/>
  <c r="G48" i="18" s="1"/>
  <c r="G49" i="18" s="1"/>
  <c r="G44" i="18"/>
  <c r="I14" i="7"/>
  <c r="I16" i="7" s="1"/>
  <c r="I17" i="7" s="1"/>
  <c r="I27" i="5"/>
  <c r="I6" i="6"/>
  <c r="I9" i="6" s="1"/>
  <c r="F5" i="15"/>
  <c r="D38" i="18"/>
  <c r="D22" i="18"/>
  <c r="D41" i="18"/>
  <c r="G37" i="18"/>
  <c r="F41" i="18" s="1"/>
  <c r="E15" i="19"/>
  <c r="F15" i="19" s="1"/>
  <c r="G15" i="19" s="1"/>
  <c r="H15" i="19" s="1"/>
  <c r="I15" i="19" s="1"/>
  <c r="D17" i="19"/>
  <c r="E14" i="19"/>
  <c r="D22" i="14"/>
  <c r="D23" i="14" s="1"/>
  <c r="G17" i="6"/>
  <c r="F17" i="15"/>
  <c r="F20" i="14" s="1"/>
  <c r="F23" i="14" s="1"/>
  <c r="D8" i="14"/>
  <c r="D27" i="5"/>
  <c r="D6" i="6"/>
  <c r="D9" i="6" s="1"/>
  <c r="D14" i="7"/>
  <c r="D16" i="7" s="1"/>
  <c r="D17" i="7" s="1"/>
  <c r="E14" i="7"/>
  <c r="E16" i="7" s="1"/>
  <c r="E17" i="7" s="1"/>
  <c r="E27" i="5"/>
  <c r="E6" i="6"/>
  <c r="E9" i="6" s="1"/>
  <c r="E8" i="14"/>
  <c r="F7" i="1"/>
  <c r="D26" i="2"/>
  <c r="E38" i="18"/>
  <c r="E22" i="18"/>
  <c r="E39" i="18" s="1"/>
  <c r="F8" i="14"/>
  <c r="F6" i="6"/>
  <c r="F9" i="6" s="1"/>
  <c r="F14" i="7"/>
  <c r="F16" i="7" s="1"/>
  <c r="F17" i="7" s="1"/>
  <c r="F27" i="5"/>
  <c r="E26" i="2"/>
  <c r="D31" i="19"/>
  <c r="E31" i="19" s="1"/>
  <c r="F31" i="19" s="1"/>
  <c r="G31" i="19" s="1"/>
  <c r="H31" i="19" s="1"/>
  <c r="I31" i="19" s="1"/>
  <c r="F39" i="18"/>
  <c r="F40" i="18" s="1"/>
  <c r="G27" i="5"/>
  <c r="G8" i="14"/>
  <c r="G14" i="7"/>
  <c r="G16" i="7" s="1"/>
  <c r="G17" i="7" s="1"/>
  <c r="G6" i="6"/>
  <c r="G9" i="6" s="1"/>
  <c r="G34" i="18"/>
  <c r="D26" i="19"/>
  <c r="H8" i="14"/>
  <c r="H6" i="6"/>
  <c r="H9" i="6" s="1"/>
  <c r="H14" i="7"/>
  <c r="H16" i="7" s="1"/>
  <c r="H17" i="7" s="1"/>
  <c r="H27" i="5"/>
  <c r="E13" i="1"/>
  <c r="E5" i="15" s="1"/>
  <c r="G26" i="2"/>
  <c r="C30" i="19"/>
  <c r="D30" i="19" s="1"/>
  <c r="C32" i="19"/>
  <c r="C34" i="19" s="1"/>
  <c r="C36" i="19" s="1"/>
  <c r="C37" i="19" s="1"/>
  <c r="C38" i="19" s="1"/>
  <c r="E25" i="18"/>
  <c r="G32" i="18"/>
  <c r="G21" i="18"/>
  <c r="G24" i="18"/>
  <c r="D25" i="18"/>
  <c r="G31" i="18"/>
  <c r="F10" i="2"/>
  <c r="F16" i="2"/>
  <c r="H9" i="2"/>
  <c r="G10" i="2"/>
  <c r="D17" i="1"/>
  <c r="F25" i="18" l="1"/>
  <c r="G25" i="18" s="1"/>
  <c r="G36" i="18"/>
  <c r="E26" i="19"/>
  <c r="D28" i="19"/>
  <c r="D16" i="6"/>
  <c r="D13" i="3"/>
  <c r="D51" i="3" s="1"/>
  <c r="D20" i="1"/>
  <c r="D18" i="1"/>
  <c r="D19" i="1" s="1"/>
  <c r="D25" i="2"/>
  <c r="D32" i="19"/>
  <c r="D34" i="19" s="1"/>
  <c r="D36" i="19" s="1"/>
  <c r="E30" i="19"/>
  <c r="F41" i="3"/>
  <c r="F42" i="3" s="1"/>
  <c r="F53" i="3" s="1"/>
  <c r="F23" i="19" s="1"/>
  <c r="E9" i="15"/>
  <c r="E14" i="14" s="1"/>
  <c r="H17" i="6"/>
  <c r="G17" i="15"/>
  <c r="G20" i="14" s="1"/>
  <c r="G23" i="14" s="1"/>
  <c r="D39" i="18"/>
  <c r="G39" i="18" s="1"/>
  <c r="G22" i="18"/>
  <c r="H41" i="3"/>
  <c r="H42" i="3" s="1"/>
  <c r="H53" i="3" s="1"/>
  <c r="H23" i="19" s="1"/>
  <c r="G9" i="15"/>
  <c r="G14" i="14" s="1"/>
  <c r="E41" i="18"/>
  <c r="G38" i="18"/>
  <c r="D27" i="19"/>
  <c r="E27" i="19" s="1"/>
  <c r="F27" i="19" s="1"/>
  <c r="G27" i="19" s="1"/>
  <c r="H27" i="19" s="1"/>
  <c r="I27" i="19" s="1"/>
  <c r="G51" i="18"/>
  <c r="H9" i="15"/>
  <c r="H14" i="14" s="1"/>
  <c r="I41" i="3"/>
  <c r="I42" i="3" s="1"/>
  <c r="I53" i="3" s="1"/>
  <c r="I23" i="19" s="1"/>
  <c r="D9" i="15"/>
  <c r="D14" i="14" s="1"/>
  <c r="E41" i="3"/>
  <c r="E42" i="3" s="1"/>
  <c r="E53" i="3" s="1"/>
  <c r="E23" i="19" s="1"/>
  <c r="E17" i="1"/>
  <c r="F9" i="15"/>
  <c r="F14" i="14" s="1"/>
  <c r="G41" i="3"/>
  <c r="G42" i="3" s="1"/>
  <c r="G53" i="3" s="1"/>
  <c r="G23" i="19" s="1"/>
  <c r="F14" i="19"/>
  <c r="E17" i="19"/>
  <c r="G7" i="1"/>
  <c r="F9" i="1"/>
  <c r="E6" i="15"/>
  <c r="E9" i="14" s="1"/>
  <c r="G16" i="2"/>
  <c r="F17" i="2"/>
  <c r="I9" i="2"/>
  <c r="I10" i="2" s="1"/>
  <c r="H10" i="2"/>
  <c r="E13" i="5"/>
  <c r="D54" i="3" l="1"/>
  <c r="D55" i="3" s="1"/>
  <c r="D7" i="4" s="1"/>
  <c r="D24" i="19"/>
  <c r="D25" i="19" s="1"/>
  <c r="D29" i="19" s="1"/>
  <c r="D37" i="19" s="1"/>
  <c r="E13" i="3"/>
  <c r="E51" i="3" s="1"/>
  <c r="E24" i="19" s="1"/>
  <c r="E16" i="6"/>
  <c r="E25" i="2"/>
  <c r="E20" i="1"/>
  <c r="E18" i="1"/>
  <c r="E19" i="1" s="1"/>
  <c r="G40" i="18"/>
  <c r="G41" i="18"/>
  <c r="D23" i="6"/>
  <c r="D11" i="15" s="1"/>
  <c r="D16" i="14" s="1"/>
  <c r="D21" i="6"/>
  <c r="H7" i="1"/>
  <c r="G9" i="1"/>
  <c r="I17" i="6"/>
  <c r="H17" i="15"/>
  <c r="H20" i="14" s="1"/>
  <c r="H23" i="14" s="1"/>
  <c r="F30" i="19"/>
  <c r="E32" i="19"/>
  <c r="E34" i="19" s="1"/>
  <c r="F26" i="19"/>
  <c r="E28" i="19"/>
  <c r="F4" i="15"/>
  <c r="F6" i="15" s="1"/>
  <c r="F9" i="14" s="1"/>
  <c r="F17" i="1"/>
  <c r="G14" i="19"/>
  <c r="F17" i="19"/>
  <c r="G52" i="18"/>
  <c r="G56" i="18" s="1"/>
  <c r="G54" i="18"/>
  <c r="D10" i="14"/>
  <c r="D23" i="1"/>
  <c r="H16" i="2"/>
  <c r="G17" i="2"/>
  <c r="B23" i="1"/>
  <c r="C20" i="2"/>
  <c r="C19" i="2"/>
  <c r="E10" i="14" l="1"/>
  <c r="E23" i="1"/>
  <c r="E21" i="1"/>
  <c r="G4" i="15"/>
  <c r="G6" i="15" s="1"/>
  <c r="G9" i="14" s="1"/>
  <c r="G17" i="1"/>
  <c r="I7" i="1"/>
  <c r="I9" i="1" s="1"/>
  <c r="H9" i="1"/>
  <c r="E21" i="6"/>
  <c r="E23" i="6"/>
  <c r="E11" i="15" s="1"/>
  <c r="E16" i="14" s="1"/>
  <c r="E23" i="15"/>
  <c r="G23" i="15"/>
  <c r="F23" i="15"/>
  <c r="H23" i="15"/>
  <c r="D23" i="15"/>
  <c r="G26" i="19"/>
  <c r="F28" i="19"/>
  <c r="D10" i="15"/>
  <c r="D15" i="14" s="1"/>
  <c r="D25" i="6"/>
  <c r="D26" i="6" s="1"/>
  <c r="F13" i="3"/>
  <c r="F51" i="3" s="1"/>
  <c r="F24" i="19" s="1"/>
  <c r="F16" i="6"/>
  <c r="F20" i="1"/>
  <c r="F25" i="2"/>
  <c r="F18" i="1"/>
  <c r="F19" i="1" s="1"/>
  <c r="H14" i="19"/>
  <c r="G17" i="19"/>
  <c r="G30" i="19"/>
  <c r="F32" i="19"/>
  <c r="F34" i="19" s="1"/>
  <c r="I16" i="2"/>
  <c r="I17" i="2" s="1"/>
  <c r="H17" i="2"/>
  <c r="C40" i="18"/>
  <c r="C39" i="18"/>
  <c r="C37" i="18"/>
  <c r="C36" i="18" s="1"/>
  <c r="I17" i="1" l="1"/>
  <c r="F21" i="6"/>
  <c r="F23" i="6"/>
  <c r="F11" i="15" s="1"/>
  <c r="F16" i="14" s="1"/>
  <c r="G13" i="3"/>
  <c r="G51" i="3" s="1"/>
  <c r="G24" i="19" s="1"/>
  <c r="G16" i="6"/>
  <c r="G20" i="1"/>
  <c r="G25" i="2"/>
  <c r="H30" i="19"/>
  <c r="G32" i="19"/>
  <c r="G34" i="19" s="1"/>
  <c r="G18" i="1"/>
  <c r="G19" i="1" s="1"/>
  <c r="I14" i="19"/>
  <c r="I17" i="19" s="1"/>
  <c r="H17" i="19"/>
  <c r="E10" i="15"/>
  <c r="E15" i="14" s="1"/>
  <c r="E25" i="6"/>
  <c r="E26" i="6" s="1"/>
  <c r="F10" i="14"/>
  <c r="F23" i="1"/>
  <c r="F21" i="1"/>
  <c r="H26" i="19"/>
  <c r="G28" i="19"/>
  <c r="H4" i="15"/>
  <c r="H6" i="15" s="1"/>
  <c r="H9" i="14" s="1"/>
  <c r="H18" i="1"/>
  <c r="H19" i="1" s="1"/>
  <c r="H17" i="1"/>
  <c r="E16" i="18"/>
  <c r="E29" i="18" s="1"/>
  <c r="E46" i="18" s="1"/>
  <c r="F16" i="18"/>
  <c r="F29" i="18" s="1"/>
  <c r="F46" i="18" s="1"/>
  <c r="G10" i="14" l="1"/>
  <c r="G23" i="1"/>
  <c r="G23" i="6"/>
  <c r="G11" i="15" s="1"/>
  <c r="G16" i="14" s="1"/>
  <c r="G21" i="6"/>
  <c r="I26" i="19"/>
  <c r="I28" i="19" s="1"/>
  <c r="H28" i="19"/>
  <c r="I13" i="3"/>
  <c r="I51" i="3" s="1"/>
  <c r="I24" i="19" s="1"/>
  <c r="I16" i="6"/>
  <c r="I20" i="1"/>
  <c r="I25" i="2"/>
  <c r="F10" i="15"/>
  <c r="F15" i="14" s="1"/>
  <c r="F25" i="6"/>
  <c r="F26" i="6" s="1"/>
  <c r="I30" i="19"/>
  <c r="I32" i="19" s="1"/>
  <c r="I34" i="19" s="1"/>
  <c r="H32" i="19"/>
  <c r="H34" i="19" s="1"/>
  <c r="H13" i="3"/>
  <c r="H51" i="3" s="1"/>
  <c r="H24" i="19" s="1"/>
  <c r="H16" i="6"/>
  <c r="H25" i="2"/>
  <c r="H20" i="1"/>
  <c r="G21" i="1"/>
  <c r="I18" i="1"/>
  <c r="I19" i="1" s="1"/>
  <c r="D1" i="4"/>
  <c r="E1" i="4" s="1"/>
  <c r="F1" i="4" s="1"/>
  <c r="G1" i="4" s="1"/>
  <c r="H1" i="4" s="1"/>
  <c r="I1" i="4" s="1"/>
  <c r="B59" i="13"/>
  <c r="B60" i="13"/>
  <c r="B58" i="13"/>
  <c r="D16" i="18"/>
  <c r="D29" i="18" s="1"/>
  <c r="D46" i="18" s="1"/>
  <c r="I21" i="1" l="1"/>
  <c r="I23" i="1"/>
  <c r="G10" i="15"/>
  <c r="G15" i="14" s="1"/>
  <c r="G25" i="6"/>
  <c r="G26" i="6" s="1"/>
  <c r="H10" i="14"/>
  <c r="H21" i="1"/>
  <c r="H23" i="1"/>
  <c r="H21" i="6"/>
  <c r="H23" i="6"/>
  <c r="H11" i="15" s="1"/>
  <c r="H16" i="14" s="1"/>
  <c r="I21" i="6"/>
  <c r="I23" i="6"/>
  <c r="B20" i="7"/>
  <c r="B19" i="7"/>
  <c r="B18" i="7"/>
  <c r="I25" i="6" l="1"/>
  <c r="I26" i="6" s="1"/>
  <c r="H10" i="15"/>
  <c r="H15" i="14" s="1"/>
  <c r="H25" i="6"/>
  <c r="H26" i="6" s="1"/>
  <c r="E1" i="15"/>
  <c r="D1" i="15"/>
  <c r="E1" i="3"/>
  <c r="F1" i="3"/>
  <c r="G1" i="3"/>
  <c r="H1" i="3"/>
  <c r="I1" i="3"/>
  <c r="J1" i="3"/>
  <c r="D1" i="3"/>
  <c r="E1" i="7"/>
  <c r="F1" i="7"/>
  <c r="G1" i="7"/>
  <c r="H1" i="7"/>
  <c r="I1" i="7"/>
  <c r="D1" i="7"/>
  <c r="E1" i="2"/>
  <c r="F1" i="2"/>
  <c r="G1" i="2"/>
  <c r="H1" i="2"/>
  <c r="I1" i="2"/>
  <c r="D1" i="2"/>
  <c r="E1" i="1"/>
  <c r="F1" i="1"/>
  <c r="G1" i="1"/>
  <c r="H1" i="1"/>
  <c r="I1" i="1"/>
  <c r="D1" i="1"/>
  <c r="F1" i="19"/>
  <c r="G1" i="19"/>
  <c r="H1" i="19"/>
  <c r="I1" i="19"/>
  <c r="E1" i="19"/>
  <c r="D21" i="19" l="1"/>
  <c r="E21" i="19"/>
  <c r="F21" i="19"/>
  <c r="G21" i="19"/>
  <c r="H21" i="19"/>
  <c r="I21" i="19"/>
  <c r="C21" i="19"/>
  <c r="E5" i="6" l="1"/>
  <c r="F5" i="6"/>
  <c r="G5" i="6"/>
  <c r="H5" i="6"/>
  <c r="I5" i="6"/>
  <c r="D5" i="6"/>
  <c r="B20" i="2"/>
  <c r="D15" i="6" l="1"/>
  <c r="D1" i="6"/>
  <c r="I15" i="6"/>
  <c r="I1" i="6"/>
  <c r="H15" i="6"/>
  <c r="H1" i="6"/>
  <c r="G15" i="6"/>
  <c r="G1" i="6"/>
  <c r="F15" i="6"/>
  <c r="F1" i="6"/>
  <c r="E15" i="6"/>
  <c r="E1" i="6"/>
  <c r="F3" i="15" l="1"/>
  <c r="G3" i="15" l="1"/>
  <c r="F1" i="15"/>
  <c r="H3" i="15" l="1"/>
  <c r="H1" i="15" s="1"/>
  <c r="G1" i="15"/>
  <c r="B19" i="2" l="1"/>
  <c r="B18" i="2"/>
  <c r="B29" i="2" l="1"/>
  <c r="B30" i="2"/>
  <c r="B28" i="2"/>
  <c r="B18" i="13" l="1"/>
  <c r="D1" i="14" s="1"/>
  <c r="E1" i="14" s="1"/>
  <c r="F1" i="14" s="1"/>
  <c r="G1" i="14" s="1"/>
  <c r="H1" i="14" s="1"/>
  <c r="D23" i="13" l="1"/>
  <c r="C32" i="22"/>
  <c r="C19" i="21"/>
  <c r="F22" i="13" l="1"/>
  <c r="F23" i="13"/>
  <c r="F21" i="13"/>
  <c r="F20" i="13" s="1"/>
  <c r="D24" i="5"/>
  <c r="B21" i="23"/>
  <c r="H28" i="5" l="1"/>
  <c r="H29" i="5" s="1"/>
  <c r="D28" i="5"/>
  <c r="D29" i="5" s="1"/>
  <c r="E28" i="5"/>
  <c r="E29" i="5" s="1"/>
  <c r="G28" i="5"/>
  <c r="G29" i="5" s="1"/>
  <c r="F28" i="5"/>
  <c r="F29" i="5" s="1"/>
  <c r="I28" i="5"/>
  <c r="I29" i="5" s="1"/>
  <c r="B18" i="4"/>
  <c r="B19" i="4"/>
  <c r="F35" i="5" l="1"/>
  <c r="F36" i="5"/>
  <c r="D36" i="5"/>
  <c r="D35" i="5"/>
  <c r="D37" i="5" s="1"/>
  <c r="D8" i="15" s="1"/>
  <c r="D12" i="14" s="1"/>
  <c r="I35" i="5"/>
  <c r="I36" i="5"/>
  <c r="G35" i="5"/>
  <c r="G36" i="5"/>
  <c r="E36" i="5"/>
  <c r="E35" i="5"/>
  <c r="E37" i="5" s="1"/>
  <c r="E8" i="15" s="1"/>
  <c r="E12" i="14" s="1"/>
  <c r="H35" i="5"/>
  <c r="H36" i="5"/>
  <c r="H37" i="5" s="1"/>
  <c r="H8" i="15" s="1"/>
  <c r="H12" i="14" s="1"/>
  <c r="B21" i="22"/>
  <c r="G37" i="5" l="1"/>
  <c r="G8" i="15" s="1"/>
  <c r="G12" i="14" s="1"/>
  <c r="I37" i="5"/>
  <c r="F37" i="5"/>
  <c r="F8" i="15" s="1"/>
  <c r="F12" i="14" s="1"/>
  <c r="B21" i="21"/>
  <c r="B21" i="14" l="1"/>
  <c r="D29" i="21" l="1"/>
  <c r="D29" i="23" l="1"/>
  <c r="D29" i="22"/>
  <c r="F25" i="23" l="1"/>
  <c r="E25" i="23"/>
  <c r="G25" i="23"/>
  <c r="H25" i="23"/>
  <c r="D25" i="22" l="1"/>
  <c r="D25" i="23"/>
  <c r="F25" i="21"/>
  <c r="F25" i="22"/>
  <c r="H25" i="21"/>
  <c r="H25" i="22"/>
  <c r="E25" i="21"/>
  <c r="E25" i="22"/>
  <c r="G25" i="21"/>
  <c r="G25" i="22"/>
  <c r="D25" i="21"/>
  <c r="H23" i="13" l="1"/>
  <c r="G23" i="13"/>
  <c r="E22" i="13"/>
  <c r="D18" i="22" l="1"/>
  <c r="D18" i="23"/>
  <c r="D20" i="22"/>
  <c r="D20" i="23"/>
  <c r="D18" i="21"/>
  <c r="D20" i="21"/>
  <c r="E18" i="21" l="1"/>
  <c r="E20" i="22"/>
  <c r="E20" i="23"/>
  <c r="F18" i="22"/>
  <c r="F18" i="23"/>
  <c r="E18" i="22"/>
  <c r="E18" i="23"/>
  <c r="E20" i="21"/>
  <c r="F20" i="21"/>
  <c r="F18" i="21"/>
  <c r="F20" i="22" l="1"/>
  <c r="F20" i="23"/>
  <c r="G18" i="23"/>
  <c r="G20" i="22" l="1"/>
  <c r="G20" i="23"/>
  <c r="G18" i="22"/>
  <c r="G18" i="21"/>
  <c r="H18" i="23"/>
  <c r="G20" i="21"/>
  <c r="E23" i="13"/>
  <c r="H20" i="22" l="1"/>
  <c r="H20" i="23"/>
  <c r="H20" i="21"/>
  <c r="H18" i="22"/>
  <c r="H18" i="21"/>
  <c r="B11" i="1" l="1"/>
  <c r="B12" i="1"/>
  <c r="H22" i="13"/>
  <c r="H21" i="13"/>
  <c r="G22" i="13"/>
  <c r="G21" i="13"/>
  <c r="G20" i="13" s="1"/>
  <c r="H20" i="13" l="1"/>
  <c r="E29" i="23"/>
  <c r="E21" i="13"/>
  <c r="D5" i="2"/>
  <c r="D22" i="13"/>
  <c r="D21" i="13"/>
  <c r="D20" i="13" s="1"/>
  <c r="D6" i="2" l="1"/>
  <c r="D5" i="7"/>
  <c r="E18" i="2"/>
  <c r="E11" i="2"/>
  <c r="D1" i="23"/>
  <c r="E1" i="23" s="1"/>
  <c r="F1" i="23" s="1"/>
  <c r="G1" i="23" s="1"/>
  <c r="H1" i="23" s="1"/>
  <c r="E29" i="21"/>
  <c r="E29" i="22"/>
  <c r="F29" i="23"/>
  <c r="E20" i="13"/>
  <c r="D11" i="7" l="1"/>
  <c r="E11" i="7"/>
  <c r="D20" i="2"/>
  <c r="D13" i="2"/>
  <c r="D28" i="2" s="1"/>
  <c r="F11" i="2"/>
  <c r="E12" i="2"/>
  <c r="E13" i="2" s="1"/>
  <c r="E28" i="2" s="1"/>
  <c r="E19" i="2"/>
  <c r="E20" i="2" s="1"/>
  <c r="F18" i="2"/>
  <c r="D1" i="22"/>
  <c r="E1" i="22" s="1"/>
  <c r="F1" i="22" s="1"/>
  <c r="G1" i="22" s="1"/>
  <c r="H1" i="22" s="1"/>
  <c r="D7" i="14"/>
  <c r="E7" i="14" s="1"/>
  <c r="F7" i="14" s="1"/>
  <c r="G7" i="14" s="1"/>
  <c r="H7" i="14" s="1"/>
  <c r="D1" i="21"/>
  <c r="E1" i="21" s="1"/>
  <c r="F1" i="21" s="1"/>
  <c r="G1" i="21" s="1"/>
  <c r="H1" i="21" s="1"/>
  <c r="F29" i="21"/>
  <c r="F29" i="22"/>
  <c r="G29" i="23"/>
  <c r="D22" i="2" l="1"/>
  <c r="D30" i="2" s="1"/>
  <c r="D29" i="2"/>
  <c r="D31" i="2" s="1"/>
  <c r="I19" i="7"/>
  <c r="I20" i="7" s="1"/>
  <c r="D19" i="7"/>
  <c r="D20" i="7" s="1"/>
  <c r="E19" i="7"/>
  <c r="E20" i="7" s="1"/>
  <c r="H19" i="7"/>
  <c r="H20" i="7" s="1"/>
  <c r="G19" i="7"/>
  <c r="G20" i="7" s="1"/>
  <c r="F19" i="7"/>
  <c r="F20" i="7" s="1"/>
  <c r="D18" i="7"/>
  <c r="G18" i="7"/>
  <c r="G21" i="7" s="1"/>
  <c r="H18" i="7"/>
  <c r="H21" i="7" s="1"/>
  <c r="F18" i="7"/>
  <c r="F21" i="7" s="1"/>
  <c r="I18" i="7"/>
  <c r="I21" i="7" s="1"/>
  <c r="J32" i="3" s="1"/>
  <c r="I33" i="3" s="1"/>
  <c r="I61" i="3" s="1"/>
  <c r="I11" i="19" s="1"/>
  <c r="E18" i="7"/>
  <c r="E29" i="2"/>
  <c r="E22" i="2"/>
  <c r="E30" i="2" s="1"/>
  <c r="E31" i="2" s="1"/>
  <c r="F12" i="2"/>
  <c r="F13" i="2" s="1"/>
  <c r="F28" i="2" s="1"/>
  <c r="G11" i="2"/>
  <c r="F19" i="2"/>
  <c r="F20" i="2" s="1"/>
  <c r="G18" i="2"/>
  <c r="G29" i="21"/>
  <c r="G29" i="22"/>
  <c r="H29" i="23"/>
  <c r="D7" i="15" l="1"/>
  <c r="E22" i="3"/>
  <c r="E23" i="3" s="1"/>
  <c r="E52" i="3" s="1"/>
  <c r="D21" i="7"/>
  <c r="E32" i="3" s="1"/>
  <c r="D33" i="3" s="1"/>
  <c r="D61" i="3" s="1"/>
  <c r="D11" i="19" s="1"/>
  <c r="E21" i="7"/>
  <c r="E12" i="15" s="1"/>
  <c r="E13" i="14" s="1"/>
  <c r="F12" i="15"/>
  <c r="F13" i="14" s="1"/>
  <c r="G32" i="3"/>
  <c r="F33" i="3" s="1"/>
  <c r="F61" i="3" s="1"/>
  <c r="F11" i="19" s="1"/>
  <c r="D11" i="14"/>
  <c r="G12" i="15"/>
  <c r="G13" i="14" s="1"/>
  <c r="H32" i="3"/>
  <c r="G33" i="3" s="1"/>
  <c r="G61" i="3" s="1"/>
  <c r="G11" i="19" s="1"/>
  <c r="H12" i="15"/>
  <c r="H13" i="14" s="1"/>
  <c r="I32" i="3"/>
  <c r="H33" i="3" s="1"/>
  <c r="H61" i="3" s="1"/>
  <c r="H11" i="19" s="1"/>
  <c r="D12" i="15"/>
  <c r="D13" i="14" s="1"/>
  <c r="E7" i="15"/>
  <c r="F22" i="3"/>
  <c r="F23" i="3" s="1"/>
  <c r="F52" i="3" s="1"/>
  <c r="F29" i="2"/>
  <c r="F22" i="2"/>
  <c r="F30" i="2" s="1"/>
  <c r="G19" i="2"/>
  <c r="G20" i="2" s="1"/>
  <c r="H18" i="2"/>
  <c r="G12" i="2"/>
  <c r="G13" i="2" s="1"/>
  <c r="G28" i="2" s="1"/>
  <c r="H11" i="2"/>
  <c r="F6" i="23"/>
  <c r="D6" i="22"/>
  <c r="D6" i="23"/>
  <c r="H29" i="21"/>
  <c r="H29" i="22"/>
  <c r="F32" i="3" l="1"/>
  <c r="E33" i="3" s="1"/>
  <c r="E61" i="3" s="1"/>
  <c r="E11" i="19" s="1"/>
  <c r="D24" i="3"/>
  <c r="E13" i="15"/>
  <c r="E14" i="15" s="1"/>
  <c r="F31" i="2"/>
  <c r="D17" i="14"/>
  <c r="D18" i="14" s="1"/>
  <c r="D19" i="14" s="1"/>
  <c r="D24" i="14" s="1"/>
  <c r="D25" i="14" s="1"/>
  <c r="D27" i="14" s="1"/>
  <c r="E54" i="3"/>
  <c r="E55" i="3" s="1"/>
  <c r="E7" i="4" s="1"/>
  <c r="E22" i="19"/>
  <c r="E25" i="19" s="1"/>
  <c r="E29" i="19" s="1"/>
  <c r="D13" i="15"/>
  <c r="D14" i="15" s="1"/>
  <c r="E11" i="14"/>
  <c r="E17" i="14" s="1"/>
  <c r="E18" i="14" s="1"/>
  <c r="E19" i="14" s="1"/>
  <c r="E24" i="14" s="1"/>
  <c r="E25" i="14" s="1"/>
  <c r="E27" i="14" s="1"/>
  <c r="F54" i="3"/>
  <c r="F22" i="19"/>
  <c r="F25" i="19" s="1"/>
  <c r="F29" i="19" s="1"/>
  <c r="D60" i="3"/>
  <c r="D12" i="19" s="1"/>
  <c r="D13" i="19" s="1"/>
  <c r="D7" i="19" s="1"/>
  <c r="D10" i="19" s="1"/>
  <c r="D18" i="19" s="1"/>
  <c r="E24" i="3"/>
  <c r="E60" i="3" s="1"/>
  <c r="F7" i="15"/>
  <c r="F11" i="14" s="1"/>
  <c r="F17" i="14" s="1"/>
  <c r="G22" i="3"/>
  <c r="G23" i="3" s="1"/>
  <c r="G52" i="3" s="1"/>
  <c r="E18" i="15"/>
  <c r="E15" i="15"/>
  <c r="G29" i="2"/>
  <c r="G22" i="2"/>
  <c r="G30" i="2" s="1"/>
  <c r="I11" i="2"/>
  <c r="I12" i="2" s="1"/>
  <c r="I13" i="2" s="1"/>
  <c r="I28" i="2" s="1"/>
  <c r="H12" i="2"/>
  <c r="H13" i="2" s="1"/>
  <c r="H28" i="2" s="1"/>
  <c r="I18" i="2"/>
  <c r="I19" i="2" s="1"/>
  <c r="I20" i="2" s="1"/>
  <c r="H19" i="2"/>
  <c r="H20" i="2" s="1"/>
  <c r="E6" i="23"/>
  <c r="D9" i="23"/>
  <c r="D21" i="21"/>
  <c r="D6" i="21"/>
  <c r="E6" i="22"/>
  <c r="F6" i="22"/>
  <c r="D9" i="21"/>
  <c r="D9" i="22"/>
  <c r="G31" i="2" l="1"/>
  <c r="F55" i="3"/>
  <c r="F7" i="4" s="1"/>
  <c r="F13" i="15"/>
  <c r="F14" i="15" s="1"/>
  <c r="G54" i="3"/>
  <c r="G55" i="3" s="1"/>
  <c r="G7" i="4" s="1"/>
  <c r="G22" i="19"/>
  <c r="G25" i="19" s="1"/>
  <c r="G29" i="19" s="1"/>
  <c r="E62" i="3"/>
  <c r="E12" i="19"/>
  <c r="E13" i="19" s="1"/>
  <c r="D62" i="3"/>
  <c r="D18" i="15"/>
  <c r="D15" i="15"/>
  <c r="F24" i="3"/>
  <c r="F60" i="3" s="1"/>
  <c r="H22" i="3"/>
  <c r="G24" i="3" s="1"/>
  <c r="G60" i="3" s="1"/>
  <c r="G7" i="15"/>
  <c r="G13" i="15" s="1"/>
  <c r="G14" i="15" s="1"/>
  <c r="F15" i="15"/>
  <c r="F18" i="15"/>
  <c r="E19" i="15"/>
  <c r="E21" i="15"/>
  <c r="F5" i="4"/>
  <c r="F18" i="14"/>
  <c r="F19" i="14" s="1"/>
  <c r="F24" i="14" s="1"/>
  <c r="F25" i="14" s="1"/>
  <c r="F27" i="14" s="1"/>
  <c r="H22" i="2"/>
  <c r="H30" i="2" s="1"/>
  <c r="H29" i="2"/>
  <c r="I22" i="2"/>
  <c r="I30" i="2" s="1"/>
  <c r="I29" i="2"/>
  <c r="D19" i="22"/>
  <c r="D19" i="21"/>
  <c r="H9" i="23"/>
  <c r="E9" i="23"/>
  <c r="G9" i="23"/>
  <c r="F9" i="23"/>
  <c r="G9" i="21"/>
  <c r="G9" i="22"/>
  <c r="F9" i="21"/>
  <c r="F9" i="22"/>
  <c r="E9" i="21"/>
  <c r="E9" i="22"/>
  <c r="H9" i="21"/>
  <c r="H9" i="22"/>
  <c r="I31" i="2" l="1"/>
  <c r="J22" i="3" s="1"/>
  <c r="I24" i="3" s="1"/>
  <c r="I60" i="3" s="1"/>
  <c r="I62" i="3" s="1"/>
  <c r="H31" i="2"/>
  <c r="H7" i="15" s="1"/>
  <c r="H13" i="15" s="1"/>
  <c r="H14" i="15" s="1"/>
  <c r="F62" i="3"/>
  <c r="F63" i="3" s="1"/>
  <c r="F12" i="19"/>
  <c r="F13" i="19" s="1"/>
  <c r="E63" i="3"/>
  <c r="E22" i="15"/>
  <c r="E24" i="15"/>
  <c r="E5" i="4"/>
  <c r="D21" i="15"/>
  <c r="D19" i="15"/>
  <c r="G62" i="3"/>
  <c r="G63" i="3" s="1"/>
  <c r="G12" i="19"/>
  <c r="G13" i="19" s="1"/>
  <c r="G11" i="14"/>
  <c r="G17" i="14" s="1"/>
  <c r="H23" i="3"/>
  <c r="H52" i="3" s="1"/>
  <c r="I22" i="3"/>
  <c r="H24" i="3" s="1"/>
  <c r="H60" i="3" s="1"/>
  <c r="G15" i="15"/>
  <c r="G18" i="15"/>
  <c r="F19" i="15"/>
  <c r="G5" i="4"/>
  <c r="F21" i="15"/>
  <c r="D7" i="23"/>
  <c r="F19" i="22"/>
  <c r="E19" i="22"/>
  <c r="D19" i="23"/>
  <c r="G6" i="22"/>
  <c r="G6" i="23"/>
  <c r="I12" i="19" l="1"/>
  <c r="I13" i="19" s="1"/>
  <c r="D22" i="15"/>
  <c r="D24" i="15"/>
  <c r="F22" i="15"/>
  <c r="F24" i="15"/>
  <c r="H62" i="3"/>
  <c r="H63" i="3" s="1"/>
  <c r="H12" i="19"/>
  <c r="H13" i="19" s="1"/>
  <c r="H54" i="3"/>
  <c r="H55" i="3" s="1"/>
  <c r="H7" i="4" s="1"/>
  <c r="H22" i="19"/>
  <c r="H25" i="19" s="1"/>
  <c r="H29" i="19" s="1"/>
  <c r="E25" i="15"/>
  <c r="F6" i="4" s="1"/>
  <c r="I23" i="3"/>
  <c r="I52" i="3" s="1"/>
  <c r="G18" i="14"/>
  <c r="G19" i="14" s="1"/>
  <c r="G24" i="14" s="1"/>
  <c r="G25" i="14" s="1"/>
  <c r="G27" i="14" s="1"/>
  <c r="H11" i="14"/>
  <c r="H17" i="14" s="1"/>
  <c r="H18" i="14" s="1"/>
  <c r="H19" i="14" s="1"/>
  <c r="H24" i="14" s="1"/>
  <c r="H15" i="15"/>
  <c r="H18" i="15"/>
  <c r="G19" i="15"/>
  <c r="H5" i="4"/>
  <c r="G21" i="15"/>
  <c r="D8" i="21"/>
  <c r="D14" i="23"/>
  <c r="D8" i="23"/>
  <c r="D10" i="23" s="1"/>
  <c r="D11" i="23" s="1"/>
  <c r="D12" i="23" s="1"/>
  <c r="D8" i="22"/>
  <c r="E7" i="23"/>
  <c r="D14" i="22"/>
  <c r="D14" i="21"/>
  <c r="F21" i="22"/>
  <c r="D7" i="21"/>
  <c r="D10" i="21" s="1"/>
  <c r="D11" i="21" s="1"/>
  <c r="F14" i="23"/>
  <c r="F14" i="22"/>
  <c r="F14" i="21"/>
  <c r="E14" i="21"/>
  <c r="E14" i="23"/>
  <c r="E14" i="22"/>
  <c r="F7" i="23"/>
  <c r="G14" i="23"/>
  <c r="G14" i="22"/>
  <c r="G14" i="21"/>
  <c r="H14" i="23"/>
  <c r="H14" i="22"/>
  <c r="H14" i="21"/>
  <c r="D21" i="23"/>
  <c r="D21" i="22"/>
  <c r="H6" i="22"/>
  <c r="H6" i="23"/>
  <c r="E27" i="15" l="1"/>
  <c r="E28" i="15" s="1"/>
  <c r="I63" i="3"/>
  <c r="G22" i="15"/>
  <c r="G24" i="15"/>
  <c r="I54" i="3"/>
  <c r="I55" i="3" s="1"/>
  <c r="I7" i="4" s="1"/>
  <c r="I22" i="19"/>
  <c r="I25" i="19" s="1"/>
  <c r="I29" i="19" s="1"/>
  <c r="F25" i="15"/>
  <c r="G6" i="4" s="1"/>
  <c r="D25" i="15"/>
  <c r="E6" i="4" s="1"/>
  <c r="H25" i="14"/>
  <c r="H27" i="14" s="1"/>
  <c r="H19" i="15"/>
  <c r="I5" i="4"/>
  <c r="H21" i="15"/>
  <c r="E8" i="22"/>
  <c r="E8" i="23"/>
  <c r="E10" i="23" s="1"/>
  <c r="E11" i="23" s="1"/>
  <c r="E12" i="23" s="1"/>
  <c r="E8" i="21"/>
  <c r="D7" i="22"/>
  <c r="D10" i="22" s="1"/>
  <c r="D11" i="22" s="1"/>
  <c r="D15" i="22" s="1"/>
  <c r="D16" i="22" s="1"/>
  <c r="D15" i="23"/>
  <c r="D16" i="23" s="1"/>
  <c r="F21" i="23"/>
  <c r="E21" i="22"/>
  <c r="E21" i="23"/>
  <c r="G19" i="22"/>
  <c r="D12" i="21"/>
  <c r="D15" i="21"/>
  <c r="D16" i="21" s="1"/>
  <c r="E7" i="22"/>
  <c r="E10" i="22" s="1"/>
  <c r="E11" i="22" s="1"/>
  <c r="E15" i="22" s="1"/>
  <c r="E16" i="22" s="1"/>
  <c r="F7" i="21"/>
  <c r="E6" i="21"/>
  <c r="E21" i="21"/>
  <c r="G7" i="23"/>
  <c r="E19" i="23"/>
  <c r="F19" i="23"/>
  <c r="F27" i="15" l="1"/>
  <c r="F28" i="15" s="1"/>
  <c r="D27" i="15"/>
  <c r="E35" i="19" s="1"/>
  <c r="H22" i="15"/>
  <c r="H24" i="15"/>
  <c r="G25" i="15"/>
  <c r="H6" i="4" s="1"/>
  <c r="F8" i="23"/>
  <c r="F10" i="23" s="1"/>
  <c r="F11" i="23" s="1"/>
  <c r="F15" i="23" s="1"/>
  <c r="F16" i="23" s="1"/>
  <c r="F8" i="21"/>
  <c r="F8" i="22"/>
  <c r="D12" i="22"/>
  <c r="E15" i="23"/>
  <c r="E16" i="23" s="1"/>
  <c r="F7" i="22"/>
  <c r="D22" i="23"/>
  <c r="D23" i="23" s="1"/>
  <c r="D22" i="22"/>
  <c r="D23" i="22" s="1"/>
  <c r="F10" i="21"/>
  <c r="D22" i="21"/>
  <c r="D26" i="21" s="1"/>
  <c r="D30" i="21" s="1"/>
  <c r="H19" i="22"/>
  <c r="E19" i="21"/>
  <c r="G21" i="22"/>
  <c r="G21" i="23"/>
  <c r="E12" i="22"/>
  <c r="E7" i="21"/>
  <c r="E10" i="21" s="1"/>
  <c r="E11" i="21" s="1"/>
  <c r="E12" i="21" s="1"/>
  <c r="E22" i="22"/>
  <c r="E26" i="22" s="1"/>
  <c r="F21" i="21"/>
  <c r="F6" i="21"/>
  <c r="H7" i="23"/>
  <c r="G19" i="23"/>
  <c r="D28" i="15" l="1"/>
  <c r="G27" i="15"/>
  <c r="G28" i="15" s="1"/>
  <c r="H25" i="15"/>
  <c r="I6" i="4" s="1"/>
  <c r="F35" i="19"/>
  <c r="E36" i="19"/>
  <c r="E37" i="19" s="1"/>
  <c r="E7" i="19" s="1"/>
  <c r="E10" i="19" s="1"/>
  <c r="E18" i="19" s="1"/>
  <c r="G8" i="21"/>
  <c r="G8" i="22"/>
  <c r="F12" i="23"/>
  <c r="G8" i="23"/>
  <c r="G10" i="23" s="1"/>
  <c r="G11" i="23" s="1"/>
  <c r="G12" i="23" s="1"/>
  <c r="E22" i="23"/>
  <c r="E26" i="23" s="1"/>
  <c r="E27" i="23" s="1"/>
  <c r="F10" i="22"/>
  <c r="F11" i="22" s="1"/>
  <c r="F15" i="22" s="1"/>
  <c r="F16" i="22" s="1"/>
  <c r="D26" i="23"/>
  <c r="D30" i="23" s="1"/>
  <c r="D32" i="23" s="1"/>
  <c r="G7" i="22"/>
  <c r="G10" i="22" s="1"/>
  <c r="G11" i="22" s="1"/>
  <c r="G12" i="22" s="1"/>
  <c r="D26" i="22"/>
  <c r="D27" i="22" s="1"/>
  <c r="D27" i="21"/>
  <c r="D23" i="21"/>
  <c r="F11" i="21"/>
  <c r="F12" i="21" s="1"/>
  <c r="F19" i="21"/>
  <c r="G7" i="21"/>
  <c r="G10" i="21" s="1"/>
  <c r="E15" i="21"/>
  <c r="E16" i="21" s="1"/>
  <c r="E23" i="22"/>
  <c r="G6" i="21"/>
  <c r="G21" i="21"/>
  <c r="H7" i="22"/>
  <c r="H21" i="23"/>
  <c r="H19" i="23"/>
  <c r="H8" i="23"/>
  <c r="H10" i="23" s="1"/>
  <c r="H11" i="23" s="1"/>
  <c r="H12" i="23" s="1"/>
  <c r="H8" i="21"/>
  <c r="H8" i="22"/>
  <c r="D32" i="21"/>
  <c r="D33" i="21" s="1"/>
  <c r="D35" i="21" s="1"/>
  <c r="H21" i="22"/>
  <c r="F22" i="23"/>
  <c r="F23" i="23" s="1"/>
  <c r="E30" i="22"/>
  <c r="E27" i="22"/>
  <c r="H27" i="15" l="1"/>
  <c r="H28" i="15" s="1"/>
  <c r="G35" i="19"/>
  <c r="F36" i="19"/>
  <c r="F37" i="19" s="1"/>
  <c r="F7" i="19" s="1"/>
  <c r="F10" i="19" s="1"/>
  <c r="F18" i="19" s="1"/>
  <c r="G15" i="23"/>
  <c r="G16" i="23" s="1"/>
  <c r="D38" i="19"/>
  <c r="E23" i="23"/>
  <c r="E30" i="23"/>
  <c r="E32" i="23" s="1"/>
  <c r="E33" i="23" s="1"/>
  <c r="E35" i="23" s="1"/>
  <c r="F22" i="22"/>
  <c r="F23" i="22" s="1"/>
  <c r="F12" i="22"/>
  <c r="D27" i="23"/>
  <c r="D30" i="22"/>
  <c r="D32" i="22" s="1"/>
  <c r="D33" i="22" s="1"/>
  <c r="D35" i="22" s="1"/>
  <c r="F15" i="21"/>
  <c r="F16" i="21" s="1"/>
  <c r="G19" i="21"/>
  <c r="H7" i="21"/>
  <c r="H10" i="21" s="1"/>
  <c r="E22" i="21"/>
  <c r="E26" i="21" s="1"/>
  <c r="E27" i="21" s="1"/>
  <c r="G15" i="22"/>
  <c r="G22" i="22" s="1"/>
  <c r="G11" i="21"/>
  <c r="G12" i="21" s="1"/>
  <c r="H10" i="22"/>
  <c r="H11" i="22" s="1"/>
  <c r="H15" i="22" s="1"/>
  <c r="H16" i="22" s="1"/>
  <c r="H21" i="21"/>
  <c r="H6" i="21"/>
  <c r="H15" i="23"/>
  <c r="H16" i="23" s="1"/>
  <c r="D33" i="23"/>
  <c r="F26" i="23"/>
  <c r="F30" i="23" s="1"/>
  <c r="F32" i="23" s="1"/>
  <c r="E32" i="22"/>
  <c r="E33" i="22" s="1"/>
  <c r="H35" i="19" l="1"/>
  <c r="G36" i="19"/>
  <c r="G37" i="19" s="1"/>
  <c r="G7" i="19" s="1"/>
  <c r="G10" i="19" s="1"/>
  <c r="G18" i="19" s="1"/>
  <c r="D57" i="13"/>
  <c r="G22" i="23"/>
  <c r="G23" i="23" s="1"/>
  <c r="F26" i="22"/>
  <c r="F30" i="22" s="1"/>
  <c r="F32" i="22" s="1"/>
  <c r="F33" i="22" s="1"/>
  <c r="F35" i="22" s="1"/>
  <c r="F22" i="21"/>
  <c r="F26" i="21" s="1"/>
  <c r="F27" i="21" s="1"/>
  <c r="H19" i="21"/>
  <c r="E23" i="21"/>
  <c r="E30" i="21"/>
  <c r="E32" i="21" s="1"/>
  <c r="E33" i="21" s="1"/>
  <c r="E35" i="21" s="1"/>
  <c r="G16" i="22"/>
  <c r="H11" i="21"/>
  <c r="H15" i="21" s="1"/>
  <c r="H16" i="21" s="1"/>
  <c r="H22" i="22"/>
  <c r="H23" i="22" s="1"/>
  <c r="G15" i="21"/>
  <c r="H12" i="22"/>
  <c r="H22" i="23"/>
  <c r="H26" i="23" s="1"/>
  <c r="H30" i="23" s="1"/>
  <c r="H32" i="23" s="1"/>
  <c r="E35" i="22"/>
  <c r="D35" i="23"/>
  <c r="F33" i="23"/>
  <c r="F35" i="23" s="1"/>
  <c r="F27" i="23"/>
  <c r="G23" i="22"/>
  <c r="G26" i="22"/>
  <c r="I35" i="19" l="1"/>
  <c r="I36" i="19" s="1"/>
  <c r="I37" i="19" s="1"/>
  <c r="I7" i="19" s="1"/>
  <c r="I10" i="19" s="1"/>
  <c r="I18" i="19" s="1"/>
  <c r="H36" i="19"/>
  <c r="H37" i="19" s="1"/>
  <c r="H7" i="19" s="1"/>
  <c r="H10" i="19" s="1"/>
  <c r="H18" i="19" s="1"/>
  <c r="G26" i="23"/>
  <c r="G30" i="23" s="1"/>
  <c r="G32" i="23" s="1"/>
  <c r="F27" i="22"/>
  <c r="F23" i="21"/>
  <c r="F30" i="21"/>
  <c r="F32" i="21" s="1"/>
  <c r="F33" i="21" s="1"/>
  <c r="F35" i="21" s="1"/>
  <c r="H12" i="21"/>
  <c r="H22" i="21"/>
  <c r="H23" i="21" s="1"/>
  <c r="H26" i="22"/>
  <c r="H30" i="22" s="1"/>
  <c r="H32" i="22" s="1"/>
  <c r="H33" i="22" s="1"/>
  <c r="H35" i="22" s="1"/>
  <c r="G16" i="21"/>
  <c r="G22" i="21"/>
  <c r="H27" i="23"/>
  <c r="H23" i="23"/>
  <c r="H33" i="23"/>
  <c r="H35" i="23" s="1"/>
  <c r="G27" i="22"/>
  <c r="G30" i="22"/>
  <c r="G32" i="22" s="1"/>
  <c r="G33" i="22" s="1"/>
  <c r="G33" i="23" l="1"/>
  <c r="G35" i="23" s="1"/>
  <c r="C35" i="23" s="1"/>
  <c r="G27" i="23"/>
  <c r="I27" i="23" s="1"/>
  <c r="D37" i="21"/>
  <c r="I26" i="22"/>
  <c r="H26" i="21"/>
  <c r="H30" i="21" s="1"/>
  <c r="H32" i="21" s="1"/>
  <c r="H33" i="21" s="1"/>
  <c r="H35" i="21" s="1"/>
  <c r="H27" i="22"/>
  <c r="I27" i="22" s="1"/>
  <c r="G26" i="21"/>
  <c r="G23" i="21"/>
  <c r="G35" i="22"/>
  <c r="C35" i="22" s="1"/>
  <c r="C36" i="22"/>
  <c r="C36" i="23" l="1"/>
  <c r="H27" i="21"/>
  <c r="I26" i="21"/>
  <c r="G27" i="21"/>
  <c r="G30" i="21"/>
  <c r="G32" i="21" s="1"/>
  <c r="G33" i="21" s="1"/>
  <c r="G35" i="21" s="1"/>
  <c r="E37" i="21"/>
  <c r="F37" i="21"/>
  <c r="E38" i="19"/>
  <c r="E57" i="13" l="1"/>
  <c r="I27" i="21"/>
  <c r="F38" i="19" l="1"/>
  <c r="G38" i="19"/>
  <c r="H37" i="21"/>
  <c r="G37" i="21"/>
  <c r="I37" i="21" l="1"/>
  <c r="H38" i="19" l="1"/>
  <c r="I38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NEOMA-BS</author>
  </authors>
  <commentList>
    <comment ref="I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Number of hours is assumed to be the same as in year 5</t>
        </r>
      </text>
    </comment>
    <comment ref="I10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Number of hours is assumed to be the same as in year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NEOMA-BS</author>
  </authors>
  <commentList>
    <comment ref="B16" authorId="0" shapeId="0" xr:uid="{00000000-0006-0000-0300-000001000000}">
      <text>
        <r>
          <rPr>
            <b/>
            <sz val="9"/>
            <color rgb="FF000000"/>
            <rFont val="Tahoma"/>
            <family val="2"/>
          </rPr>
          <t>A Falcon 900+ uses-up 45% less fuel than a Falcon 900</t>
        </r>
      </text>
    </comment>
    <comment ref="I2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The last year is the same as the previous year regarding biofuel increased costs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NEOMA-BS</author>
  </authors>
  <commentList>
    <comment ref="B17" authorId="0" shapeId="0" xr:uid="{00000000-0006-0000-0500-000001000000}">
      <text>
        <r>
          <rPr>
            <b/>
            <sz val="9"/>
            <color rgb="FF000000"/>
            <rFont val="Tahoma"/>
            <family val="2"/>
          </rPr>
          <t>=ROUNDUP(cell;0)</t>
        </r>
      </text>
    </comment>
  </commentList>
</comments>
</file>

<file path=xl/sharedStrings.xml><?xml version="1.0" encoding="utf-8"?>
<sst xmlns="http://schemas.openxmlformats.org/spreadsheetml/2006/main" count="579" uniqueCount="309">
  <si>
    <t>Cockpit</t>
  </si>
  <si>
    <t>Aircraft:</t>
  </si>
  <si>
    <t>Fuel costs:</t>
  </si>
  <si>
    <t>FX:</t>
  </si>
  <si>
    <t>SCENARIOS DATA</t>
  </si>
  <si>
    <t>Aircraft type</t>
  </si>
  <si>
    <t>Fuel conditions: price increase</t>
  </si>
  <si>
    <t xml:space="preserve">F900 </t>
  </si>
  <si>
    <t>Fuel - Base</t>
  </si>
  <si>
    <t>F900+ standard fuel</t>
  </si>
  <si>
    <t>Fuel - Optimistic</t>
  </si>
  <si>
    <t>F900+ biofuel</t>
  </si>
  <si>
    <t>Fuel - Pessimistic</t>
  </si>
  <si>
    <t>Starting year:</t>
  </si>
  <si>
    <t>FX Conditions</t>
  </si>
  <si>
    <t>FX Standard</t>
  </si>
  <si>
    <t>FX Optimistic</t>
  </si>
  <si>
    <t>FX Pessimistic</t>
  </si>
  <si>
    <t>Aircraft type: leasing costs and fuel consumption</t>
  </si>
  <si>
    <t>Aircraft</t>
  </si>
  <si>
    <t>Fuel cost</t>
  </si>
  <si>
    <t>Fuel price increase rate</t>
  </si>
  <si>
    <t>Valuation assumptions</t>
  </si>
  <si>
    <t>g</t>
  </si>
  <si>
    <t>WACC</t>
  </si>
  <si>
    <t>tax rate</t>
  </si>
  <si>
    <t>Analysis</t>
  </si>
  <si>
    <t>Analysis criteria:</t>
  </si>
  <si>
    <t>PV of EBITDA</t>
  </si>
  <si>
    <t>PV of CFO+CFI</t>
  </si>
  <si>
    <t>Sustainability</t>
  </si>
  <si>
    <t>How to build data tables</t>
  </si>
  <si>
    <t>One-dimension table</t>
  </si>
  <si>
    <t>Scenarios</t>
  </si>
  <si>
    <t>Two-dimensions table</t>
  </si>
  <si>
    <t>NPV</t>
  </si>
  <si>
    <t>Units</t>
  </si>
  <si>
    <t>Standard Service - volume</t>
  </si>
  <si>
    <t>Flight hours (FH)</t>
  </si>
  <si>
    <t>Hourly price</t>
  </si>
  <si>
    <t>Price/FH</t>
  </si>
  <si>
    <t>Price per hour increase</t>
  </si>
  <si>
    <t>%</t>
  </si>
  <si>
    <t>Standard - Revenue</t>
  </si>
  <si>
    <t>EUR '000</t>
  </si>
  <si>
    <t>Premium - volume</t>
  </si>
  <si>
    <t>Premium - Revenue</t>
  </si>
  <si>
    <t>Total Standard + Premium</t>
  </si>
  <si>
    <t>Total volumes</t>
  </si>
  <si>
    <t>FH</t>
  </si>
  <si>
    <t>Total revenue</t>
  </si>
  <si>
    <t>Standard Revenue % out of total revenue</t>
  </si>
  <si>
    <t>Premium Revenue % out of total Revenue</t>
  </si>
  <si>
    <t>Weighted average price per FH</t>
  </si>
  <si>
    <t>EUR</t>
  </si>
  <si>
    <t>Increase in average price per FH %</t>
  </si>
  <si>
    <t>Fuel price increase</t>
  </si>
  <si>
    <t>FX rate</t>
  </si>
  <si>
    <t>EUR/USD</t>
  </si>
  <si>
    <t xml:space="preserve"> </t>
  </si>
  <si>
    <t>Falcon 900</t>
  </si>
  <si>
    <t>Fuel consumption per Flight Hour</t>
  </si>
  <si>
    <t>Kg /FH</t>
  </si>
  <si>
    <t>Ton /FH</t>
  </si>
  <si>
    <t>USD /Ton</t>
  </si>
  <si>
    <t>Fuel cost per Flight Hour</t>
  </si>
  <si>
    <t>USD /FH</t>
  </si>
  <si>
    <t>Fuel cost per FH</t>
  </si>
  <si>
    <t>EUR /FH</t>
  </si>
  <si>
    <t>Falcon 900+</t>
  </si>
  <si>
    <t>Falcon 900+ fuel savings vs standard consumption - all years</t>
  </si>
  <si>
    <t>USD/Ton</t>
  </si>
  <si>
    <t>Biofuel cost per FH - increased cost vs standard fuel</t>
  </si>
  <si>
    <t>Biofuel cost per FH</t>
  </si>
  <si>
    <t>Revenue</t>
  </si>
  <si>
    <t>Volume</t>
  </si>
  <si>
    <t>Fuel cost calculation - summary</t>
  </si>
  <si>
    <t>€ '000</t>
  </si>
  <si>
    <t xml:space="preserve">Final fuel cost </t>
  </si>
  <si>
    <t>Crew for less than 8 passengers (gross amount)</t>
  </si>
  <si>
    <t>Unit</t>
  </si>
  <si>
    <t>Number</t>
  </si>
  <si>
    <t>Per year</t>
  </si>
  <si>
    <t>Pilot</t>
  </si>
  <si>
    <t>Copilot</t>
  </si>
  <si>
    <t>Stewards/Stewardess</t>
  </si>
  <si>
    <t>Total</t>
  </si>
  <si>
    <t>Benefits %</t>
  </si>
  <si>
    <t>Year 1 - Total cost for 1 crew (including benefits)</t>
  </si>
  <si>
    <t>Crew for more than 8 passengers (gross amount)</t>
  </si>
  <si>
    <t>About regulation</t>
  </si>
  <si>
    <t>Amount</t>
  </si>
  <si>
    <t>Maximum flying hours per month for one crew</t>
  </si>
  <si>
    <t>FH /m</t>
  </si>
  <si>
    <t>Working months per year</t>
  </si>
  <si>
    <t>m</t>
  </si>
  <si>
    <t>Maximum flying hours per year for one crew</t>
  </si>
  <si>
    <t>FH /year</t>
  </si>
  <si>
    <t>Crew number</t>
  </si>
  <si>
    <t>Crew number (rounded)</t>
  </si>
  <si>
    <t>Salary increase per year</t>
  </si>
  <si>
    <t>Annual cost for 1 crew  &lt; than 8 passengers</t>
  </si>
  <si>
    <t>Annual cost for 1 crew  &gt; than 8 passengers</t>
  </si>
  <si>
    <t>% of flight with  less than 8 passengers</t>
  </si>
  <si>
    <t>% of flight with  more than 8 passengers</t>
  </si>
  <si>
    <t>Annual crew cost &lt; 8 passengers</t>
  </si>
  <si>
    <t>Annual crew cost &gt; 8 passengers</t>
  </si>
  <si>
    <t>Total annual crew cost</t>
  </si>
  <si>
    <t>Falcon</t>
  </si>
  <si>
    <t>900 +</t>
  </si>
  <si>
    <t>Leasing cost per month</t>
  </si>
  <si>
    <t>USD</t>
  </si>
  <si>
    <t>Leasing cost per year</t>
  </si>
  <si>
    <t xml:space="preserve"> Volume </t>
  </si>
  <si>
    <t>Aircraft's capacity</t>
  </si>
  <si>
    <t>Number of aircrafts needed</t>
  </si>
  <si>
    <t>Number of aircrafts needed - rounded</t>
  </si>
  <si>
    <t>Total leasing cost</t>
  </si>
  <si>
    <t>Technical &amp; maintenance costs</t>
  </si>
  <si>
    <t>EUR / FH</t>
  </si>
  <si>
    <t>Increase in tech &amp; maintenance costs</t>
  </si>
  <si>
    <t>Total cost</t>
  </si>
  <si>
    <t>Sales revenue</t>
  </si>
  <si>
    <t>Change per year</t>
  </si>
  <si>
    <t>General &amp; Administrative costs per year</t>
  </si>
  <si>
    <t xml:space="preserve">Unexpected costs </t>
  </si>
  <si>
    <t>in % of net revenue</t>
  </si>
  <si>
    <t>Flat tax on CO2</t>
  </si>
  <si>
    <t>Total other costs</t>
  </si>
  <si>
    <t>in % of  net revenu</t>
  </si>
  <si>
    <t>Website &amp; licences</t>
  </si>
  <si>
    <t>Useful life</t>
  </si>
  <si>
    <t>year</t>
  </si>
  <si>
    <t>Amortization</t>
  </si>
  <si>
    <t>Payment terms</t>
  </si>
  <si>
    <t>day of sales</t>
  </si>
  <si>
    <t>Prepaid revenue / balance sheet</t>
  </si>
  <si>
    <t>Month of delay</t>
  </si>
  <si>
    <t>(out of 12)</t>
  </si>
  <si>
    <t>Deposit</t>
  </si>
  <si>
    <t>% upfront</t>
  </si>
  <si>
    <t>Fuel costs</t>
  </si>
  <si>
    <t>Accounts payable / balance sheet</t>
  </si>
  <si>
    <t>Deposit / balance sheet</t>
  </si>
  <si>
    <t>Lease deposit</t>
  </si>
  <si>
    <t>Nbr of month</t>
  </si>
  <si>
    <t>(upfront)</t>
  </si>
  <si>
    <t>Leasing costs</t>
  </si>
  <si>
    <t>Lease deposit / balance sheet</t>
  </si>
  <si>
    <t>Technical &amp; maintanance costs</t>
  </si>
  <si>
    <t>Nbr of month delay</t>
  </si>
  <si>
    <t>Account payable / balance sheet</t>
  </si>
  <si>
    <t>Prepaid revenue</t>
  </si>
  <si>
    <t>Accounts payable - fuel</t>
  </si>
  <si>
    <t>Accounts payable - technical costs</t>
  </si>
  <si>
    <t>Working Capital Requirement</t>
  </si>
  <si>
    <t>Fuel</t>
  </si>
  <si>
    <t>Leasing</t>
  </si>
  <si>
    <t>Total deposits (balance sheet)</t>
  </si>
  <si>
    <t>Change in deposits (cash flow statement)</t>
  </si>
  <si>
    <t>Round 1: Founders</t>
  </si>
  <si>
    <t>Mrs A</t>
  </si>
  <si>
    <t>Mr B</t>
  </si>
  <si>
    <t>Invest. Fd</t>
  </si>
  <si>
    <t>Brand name or trademark</t>
  </si>
  <si>
    <t xml:space="preserve">EUR '000 </t>
  </si>
  <si>
    <t>Value of first contracts</t>
  </si>
  <si>
    <t>Cash contribution</t>
  </si>
  <si>
    <t>Total contribution</t>
  </si>
  <si>
    <t>Share face value</t>
  </si>
  <si>
    <t>Total number of shares at the end of round 1</t>
  </si>
  <si>
    <t>shares</t>
  </si>
  <si>
    <t>Equity stake</t>
  </si>
  <si>
    <t>DGAC Cash requirements (in €):</t>
  </si>
  <si>
    <t>Cash needed to comply with DGAC (€):</t>
  </si>
  <si>
    <t>Round 2: Investment fund equity contribution</t>
  </si>
  <si>
    <t>Equiy contribution</t>
  </si>
  <si>
    <t>Souscription price</t>
  </si>
  <si>
    <t>o/w Share premium</t>
  </si>
  <si>
    <t>Number of shares issued for the Invest. Fd</t>
  </si>
  <si>
    <t>Total equity</t>
  </si>
  <si>
    <t>o/w Capital contributed</t>
  </si>
  <si>
    <t>Total number of shares</t>
  </si>
  <si>
    <t>Cash still needed to comply with DGAC (€):</t>
  </si>
  <si>
    <t>Round 2: Investment fund convertible bonds</t>
  </si>
  <si>
    <t>Convertible bonds number</t>
  </si>
  <si>
    <t>Subsrciption price</t>
  </si>
  <si>
    <t>Value for Convertible Bonds</t>
  </si>
  <si>
    <t>Interest cost</t>
  </si>
  <si>
    <t>If bonds were converted:</t>
  </si>
  <si>
    <t>Number of new equity shares</t>
  </si>
  <si>
    <t>Total number of equity shares (after conversion)</t>
  </si>
  <si>
    <t>Value of equity</t>
  </si>
  <si>
    <t>o/w Contributed capital</t>
  </si>
  <si>
    <t>Equity stake in LightFlight</t>
  </si>
  <si>
    <t>If all bonds were converted into shares of common stock (1 for 1)</t>
  </si>
  <si>
    <t>Round 3: Incremental cash required by DGAC to start LightFlight</t>
  </si>
  <si>
    <t>Minimum cash required by DGAC to start</t>
  </si>
  <si>
    <t>Shareholder cash contribution</t>
  </si>
  <si>
    <t>Minimum incremental cash required</t>
  </si>
  <si>
    <t>o/w Potential Senior debt</t>
  </si>
  <si>
    <t>o/w Potential Junior / Mezzanine debt</t>
  </si>
  <si>
    <t>Total interest cost</t>
  </si>
  <si>
    <t>o/w on Senior debt</t>
  </si>
  <si>
    <t>o/w on Junior or Mezzanine debt</t>
  </si>
  <si>
    <t>Standard service revenue</t>
  </si>
  <si>
    <t>Premium service revenue</t>
  </si>
  <si>
    <t>Total Revenue</t>
  </si>
  <si>
    <t>Crew costs</t>
  </si>
  <si>
    <t>Technical &amp; Maintenance costs</t>
  </si>
  <si>
    <t>Unexpected costs</t>
  </si>
  <si>
    <t>Flat Tax / CO2</t>
  </si>
  <si>
    <t>Total variable costs</t>
  </si>
  <si>
    <t>Margin on variable costs</t>
  </si>
  <si>
    <t>General &amp; Admin costs</t>
  </si>
  <si>
    <t>Ground floor personnel</t>
  </si>
  <si>
    <t>EBITDA</t>
  </si>
  <si>
    <t>EBITDA margin</t>
  </si>
  <si>
    <t>D&amp;A</t>
  </si>
  <si>
    <t>EBIT</t>
  </si>
  <si>
    <t>EBIT margin</t>
  </si>
  <si>
    <t>Cost of debt</t>
  </si>
  <si>
    <t>Pretax earnings (EBT)</t>
  </si>
  <si>
    <t>Taxes</t>
  </si>
  <si>
    <t>Tax rate</t>
  </si>
  <si>
    <t>Net earnings</t>
  </si>
  <si>
    <t>Total Volumes</t>
  </si>
  <si>
    <t>Weighted average price per hour</t>
  </si>
  <si>
    <t>Crew</t>
  </si>
  <si>
    <t>Technical &amp; maintenance</t>
  </si>
  <si>
    <t>VC margin rate</t>
  </si>
  <si>
    <t>Ground personnel</t>
  </si>
  <si>
    <t>Total fixed costs</t>
  </si>
  <si>
    <t>Breakeven revenue</t>
  </si>
  <si>
    <t>In number of flight hours</t>
  </si>
  <si>
    <t>Number of aircrafts to break even</t>
  </si>
  <si>
    <t>Cash Flows</t>
  </si>
  <si>
    <t xml:space="preserve"> - Taxes</t>
  </si>
  <si>
    <t xml:space="preserve"> - Increase in WCR</t>
  </si>
  <si>
    <t>Cash flow from operating</t>
  </si>
  <si>
    <t xml:space="preserve"> - CAPEX</t>
  </si>
  <si>
    <t xml:space="preserve"> - Increase in deposits</t>
  </si>
  <si>
    <t>Cash flow from investing</t>
  </si>
  <si>
    <t>Equity contribution (cash)</t>
  </si>
  <si>
    <t>New debt, net</t>
  </si>
  <si>
    <t>Interest expenses</t>
  </si>
  <si>
    <t>Dividends paid</t>
  </si>
  <si>
    <t>Cash flow from financing</t>
  </si>
  <si>
    <t>Cash flow total</t>
  </si>
  <si>
    <t>Creation</t>
  </si>
  <si>
    <t>ASSETS</t>
  </si>
  <si>
    <t>Round 1</t>
  </si>
  <si>
    <t>Round 2 &amp; 3</t>
  </si>
  <si>
    <t>Cash</t>
  </si>
  <si>
    <t>Accounts receivables</t>
  </si>
  <si>
    <t>Inventories</t>
  </si>
  <si>
    <t>Current assets</t>
  </si>
  <si>
    <t>Fuel deposit</t>
  </si>
  <si>
    <t xml:space="preserve">   Website</t>
  </si>
  <si>
    <t xml:space="preserve">    Brand</t>
  </si>
  <si>
    <t xml:space="preserve">    Contracts</t>
  </si>
  <si>
    <t>TOTAL ASSETS</t>
  </si>
  <si>
    <t>LIABILITIES &amp; EQUITY</t>
  </si>
  <si>
    <t xml:space="preserve">   Account payable (Fuel costs)</t>
  </si>
  <si>
    <t xml:space="preserve">   Account payable (Technical costs)</t>
  </si>
  <si>
    <t xml:space="preserve">   Prepaid revenue</t>
  </si>
  <si>
    <t>Current liabilities</t>
  </si>
  <si>
    <t xml:space="preserve">   Convertible bonds</t>
  </si>
  <si>
    <t xml:space="preserve">   Debt</t>
  </si>
  <si>
    <t>Non-current liabilities</t>
  </si>
  <si>
    <t>Total liabilities</t>
  </si>
  <si>
    <t xml:space="preserve">    Founders share capital</t>
  </si>
  <si>
    <t xml:space="preserve">    Investment Fund share capital</t>
  </si>
  <si>
    <t>Total contributed capital</t>
  </si>
  <si>
    <t>Share premium</t>
  </si>
  <si>
    <t>Total Equity Contributed Capital</t>
  </si>
  <si>
    <t>Retained earnings</t>
  </si>
  <si>
    <t>Total Equity</t>
  </si>
  <si>
    <t>TOTAL LIABILITIES &amp; EQUITY</t>
  </si>
  <si>
    <t>Check</t>
  </si>
  <si>
    <t>P&amp;L</t>
  </si>
  <si>
    <t>FALCON 900</t>
  </si>
  <si>
    <t>th€</t>
  </si>
  <si>
    <t>Crew cost</t>
  </si>
  <si>
    <t>Margin on variable and semi-variable costs</t>
  </si>
  <si>
    <t>Miscellanous</t>
  </si>
  <si>
    <t>variable?</t>
  </si>
  <si>
    <t>Net profit margin</t>
  </si>
  <si>
    <t>Net earnings differential</t>
  </si>
  <si>
    <t>Scenario ok</t>
  </si>
  <si>
    <t>Set FX €/$ to Catastrophic risk scenario</t>
  </si>
  <si>
    <t>Average</t>
  </si>
  <si>
    <t>Active scenario</t>
  </si>
  <si>
    <t>EUR per month</t>
  </si>
  <si>
    <t>Ground personnel cost per year</t>
  </si>
  <si>
    <t>out of 365 days</t>
  </si>
  <si>
    <t>Increase in WCR (CFS)</t>
  </si>
  <si>
    <t>Total deposits (Non-current assets)</t>
  </si>
  <si>
    <t>Total intangible assets (Non-current assets)</t>
  </si>
  <si>
    <t>1 EUR = X USD</t>
  </si>
  <si>
    <t>Notes</t>
  </si>
  <si>
    <t>Technical &amp; maintenance costs are paid with a 1-month delay, impacting WCR</t>
  </si>
  <si>
    <t>LightFlight has a total intangible assets of EUR 350k after round 1 financing</t>
  </si>
  <si>
    <t>Safety Margin</t>
  </si>
  <si>
    <t>Conversion Ratio 1-to-1</t>
  </si>
  <si>
    <t>x</t>
  </si>
  <si>
    <t>Or 121 (EUR'000)</t>
  </si>
  <si>
    <t>Earning Margin</t>
  </si>
  <si>
    <t>Or 800 (EUR'000)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</si>
</sst>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 * #,##0.00_)_ ;_ * \(#,##0.00\)_ ;_ * &quot;-&quot;??_)_ ;_ @_ "/>
    <numFmt numFmtId="167" formatCode="_ * #,##0_)_ ;_ * \(#,##0\)_ ;_ * &quot;-&quot;??_)_ ;_ @_ "/>
    <numFmt numFmtId="168" formatCode="0.0%"/>
    <numFmt numFmtId="169" formatCode="0.000"/>
    <numFmt numFmtId="170" formatCode="#,##0.0"/>
    <numFmt numFmtId="171" formatCode="#,##0_ ;[Red]\-#,##0\ "/>
    <numFmt numFmtId="172" formatCode="_-* #,##0\ &quot;€&quot;_-;\-* #,##0\ &quot;€&quot;_-;_-* &quot;-&quot;??\ &quot;€&quot;_-;_-@_-"/>
  </numFmts>
  <fonts count="3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Helvetica"/>
      <family val="2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9"/>
      <color rgb="FF000000"/>
      <name val="Tahoma"/>
      <family val="2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9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D0E3"/>
        <bgColor indexed="64"/>
      </patternFill>
    </fill>
    <fill>
      <patternFill patternType="solid">
        <fgColor rgb="FFE37DC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B367B9"/>
      </left>
      <right/>
      <top style="medium">
        <color rgb="FFB367B9"/>
      </top>
      <bottom/>
      <diagonal/>
    </border>
    <border>
      <left/>
      <right/>
      <top style="medium">
        <color rgb="FFB367B9"/>
      </top>
      <bottom/>
      <diagonal/>
    </border>
    <border>
      <left/>
      <right style="medium">
        <color rgb="FFB367B9"/>
      </right>
      <top style="medium">
        <color rgb="FFB367B9"/>
      </top>
      <bottom/>
      <diagonal/>
    </border>
    <border>
      <left style="medium">
        <color rgb="FFB367B9"/>
      </left>
      <right/>
      <top/>
      <bottom style="medium">
        <color rgb="FFB367B9"/>
      </bottom>
      <diagonal/>
    </border>
    <border>
      <left/>
      <right/>
      <top/>
      <bottom style="medium">
        <color rgb="FFB367B9"/>
      </bottom>
      <diagonal/>
    </border>
    <border>
      <left/>
      <right style="medium">
        <color rgb="FFB367B9"/>
      </right>
      <top/>
      <bottom style="medium">
        <color rgb="FFB367B9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B367B9"/>
      </left>
      <right/>
      <top style="medium">
        <color rgb="FFB367B9"/>
      </top>
      <bottom style="medium">
        <color rgb="FFB367B9"/>
      </bottom>
      <diagonal/>
    </border>
    <border>
      <left/>
      <right/>
      <top style="medium">
        <color rgb="FFB367B9"/>
      </top>
      <bottom style="medium">
        <color rgb="FFB367B9"/>
      </bottom>
      <diagonal/>
    </border>
    <border>
      <left/>
      <right style="medium">
        <color rgb="FFB367B9"/>
      </right>
      <top style="medium">
        <color rgb="FFB367B9"/>
      </top>
      <bottom style="medium">
        <color rgb="FFB367B9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355">
    <xf numFmtId="0" fontId="0" fillId="0" borderId="0" xfId="0"/>
    <xf numFmtId="0" fontId="0" fillId="3" borderId="0" xfId="0" applyFill="1"/>
    <xf numFmtId="0" fontId="3" fillId="0" borderId="0" xfId="0" applyFont="1"/>
    <xf numFmtId="166" fontId="0" fillId="0" borderId="0" xfId="1" applyFont="1" applyBorder="1"/>
    <xf numFmtId="10" fontId="0" fillId="0" borderId="0" xfId="2" applyNumberFormat="1" applyFont="1" applyBorder="1"/>
    <xf numFmtId="0" fontId="0" fillId="5" borderId="0" xfId="0" applyFill="1"/>
    <xf numFmtId="0" fontId="10" fillId="0" borderId="0" xfId="0" applyFont="1"/>
    <xf numFmtId="3" fontId="1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4" fillId="0" borderId="1" xfId="0" applyFont="1" applyBorder="1" applyAlignment="1">
      <alignment horizontal="center" vertical="center" wrapText="1"/>
    </xf>
    <xf numFmtId="0" fontId="15" fillId="0" borderId="3" xfId="0" applyFont="1" applyBorder="1"/>
    <xf numFmtId="0" fontId="13" fillId="0" borderId="0" xfId="0" applyFont="1"/>
    <xf numFmtId="3" fontId="0" fillId="5" borderId="0" xfId="0" applyNumberFormat="1" applyFill="1" applyAlignment="1">
      <alignment horizontal="center"/>
    </xf>
    <xf numFmtId="9" fontId="0" fillId="5" borderId="0" xfId="0" applyNumberFormat="1" applyFill="1" applyAlignment="1">
      <alignment horizontal="center"/>
    </xf>
    <xf numFmtId="0" fontId="10" fillId="5" borderId="0" xfId="0" applyFont="1" applyFill="1" applyAlignment="1">
      <alignment horizontal="center"/>
    </xf>
    <xf numFmtId="2" fontId="0" fillId="5" borderId="0" xfId="0" applyNumberFormat="1" applyFill="1" applyAlignment="1">
      <alignment horizontal="left"/>
    </xf>
    <xf numFmtId="0" fontId="13" fillId="5" borderId="0" xfId="0" applyFont="1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168" fontId="15" fillId="0" borderId="1" xfId="2" applyNumberFormat="1" applyFont="1" applyBorder="1" applyAlignment="1">
      <alignment horizontal="center"/>
    </xf>
    <xf numFmtId="0" fontId="14" fillId="5" borderId="0" xfId="0" applyFont="1" applyFill="1"/>
    <xf numFmtId="0" fontId="13" fillId="5" borderId="0" xfId="0" applyFont="1" applyFill="1" applyAlignment="1">
      <alignment horizontal="center"/>
    </xf>
    <xf numFmtId="0" fontId="10" fillId="5" borderId="0" xfId="0" applyFont="1" applyFill="1"/>
    <xf numFmtId="10" fontId="0" fillId="5" borderId="0" xfId="0" applyNumberFormat="1" applyFill="1"/>
    <xf numFmtId="0" fontId="14" fillId="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 vertical="top" wrapText="1"/>
    </xf>
    <xf numFmtId="0" fontId="15" fillId="0" borderId="0" xfId="0" applyFont="1"/>
    <xf numFmtId="0" fontId="15" fillId="0" borderId="0" xfId="0" applyFont="1" applyAlignment="1">
      <alignment horizontal="center"/>
    </xf>
    <xf numFmtId="0" fontId="13" fillId="5" borderId="0" xfId="0" applyFont="1" applyFill="1" applyAlignment="1">
      <alignment horizontal="left" indent="6"/>
    </xf>
    <xf numFmtId="3" fontId="13" fillId="5" borderId="0" xfId="0" applyNumberFormat="1" applyFont="1" applyFill="1" applyAlignment="1">
      <alignment horizontal="center"/>
    </xf>
    <xf numFmtId="0" fontId="14" fillId="0" borderId="0" xfId="0" applyFont="1"/>
    <xf numFmtId="9" fontId="13" fillId="5" borderId="0" xfId="0" applyNumberFormat="1" applyFont="1" applyFill="1"/>
    <xf numFmtId="2" fontId="13" fillId="5" borderId="0" xfId="0" applyNumberFormat="1" applyFont="1" applyFill="1" applyAlignment="1">
      <alignment horizontal="left" indent="6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16" fillId="5" borderId="0" xfId="0" applyFont="1" applyFill="1"/>
    <xf numFmtId="0" fontId="10" fillId="5" borderId="0" xfId="0" applyFont="1" applyFill="1" applyAlignment="1">
      <alignment horizontal="left"/>
    </xf>
    <xf numFmtId="0" fontId="10" fillId="5" borderId="0" xfId="0" applyFont="1" applyFill="1" applyAlignment="1">
      <alignment horizontal="right"/>
    </xf>
    <xf numFmtId="3" fontId="10" fillId="5" borderId="0" xfId="0" applyNumberFormat="1" applyFont="1" applyFill="1" applyAlignment="1">
      <alignment horizontal="center"/>
    </xf>
    <xf numFmtId="0" fontId="14" fillId="0" borderId="0" xfId="0" applyFont="1" applyAlignment="1">
      <alignment vertical="top" wrapText="1"/>
    </xf>
    <xf numFmtId="0" fontId="13" fillId="0" borderId="0" xfId="0" quotePrefix="1" applyFont="1"/>
    <xf numFmtId="0" fontId="0" fillId="2" borderId="0" xfId="0" applyFill="1" applyAlignment="1">
      <alignment horizontal="center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9" fontId="0" fillId="0" borderId="0" xfId="0" applyNumberFormat="1"/>
    <xf numFmtId="0" fontId="0" fillId="4" borderId="0" xfId="0" applyFill="1"/>
    <xf numFmtId="167" fontId="0" fillId="5" borderId="0" xfId="1" applyNumberFormat="1" applyFont="1" applyFill="1" applyBorder="1"/>
    <xf numFmtId="0" fontId="3" fillId="5" borderId="0" xfId="0" applyFont="1" applyFill="1"/>
    <xf numFmtId="0" fontId="5" fillId="0" borderId="0" xfId="0" applyFont="1"/>
    <xf numFmtId="0" fontId="3" fillId="3" borderId="0" xfId="0" applyFont="1" applyFill="1"/>
    <xf numFmtId="0" fontId="3" fillId="0" borderId="0" xfId="0" applyFont="1" applyAlignment="1">
      <alignment horizontal="center" vertical="center"/>
    </xf>
    <xf numFmtId="10" fontId="0" fillId="0" borderId="0" xfId="0" applyNumberFormat="1" applyAlignment="1">
      <alignment horizontal="right"/>
    </xf>
    <xf numFmtId="0" fontId="0" fillId="5" borderId="0" xfId="0" applyFill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right" vertical="center"/>
    </xf>
    <xf numFmtId="0" fontId="6" fillId="0" borderId="0" xfId="0" applyFont="1"/>
    <xf numFmtId="0" fontId="18" fillId="0" borderId="0" xfId="0" applyFont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4" fontId="15" fillId="0" borderId="4" xfId="0" applyNumberFormat="1" applyFont="1" applyBorder="1" applyAlignment="1">
      <alignment horizontal="center"/>
    </xf>
    <xf numFmtId="0" fontId="20" fillId="5" borderId="0" xfId="0" applyFont="1" applyFill="1"/>
    <xf numFmtId="0" fontId="7" fillId="5" borderId="0" xfId="0" applyFont="1" applyFill="1"/>
    <xf numFmtId="0" fontId="0" fillId="4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3" fontId="0" fillId="5" borderId="0" xfId="1" applyNumberFormat="1" applyFont="1" applyFill="1" applyBorder="1"/>
    <xf numFmtId="3" fontId="0" fillId="5" borderId="0" xfId="0" applyNumberFormat="1" applyFill="1"/>
    <xf numFmtId="0" fontId="3" fillId="6" borderId="0" xfId="0" applyFont="1" applyFill="1"/>
    <xf numFmtId="3" fontId="0" fillId="6" borderId="0" xfId="0" applyNumberFormat="1" applyFill="1"/>
    <xf numFmtId="3" fontId="0" fillId="6" borderId="0" xfId="1" applyNumberFormat="1" applyFont="1" applyFill="1" applyBorder="1"/>
    <xf numFmtId="3" fontId="3" fillId="5" borderId="0" xfId="1" applyNumberFormat="1" applyFont="1" applyFill="1" applyBorder="1"/>
    <xf numFmtId="10" fontId="3" fillId="5" borderId="0" xfId="2" applyNumberFormat="1" applyFont="1" applyFill="1" applyBorder="1"/>
    <xf numFmtId="10" fontId="2" fillId="5" borderId="0" xfId="2" applyNumberFormat="1" applyFont="1" applyFill="1" applyBorder="1"/>
    <xf numFmtId="168" fontId="2" fillId="5" borderId="0" xfId="2" applyNumberFormat="1" applyFont="1" applyFill="1" applyBorder="1"/>
    <xf numFmtId="0" fontId="9" fillId="0" borderId="0" xfId="0" applyFont="1"/>
    <xf numFmtId="3" fontId="3" fillId="6" borderId="0" xfId="1" applyNumberFormat="1" applyFont="1" applyFill="1" applyBorder="1"/>
    <xf numFmtId="0" fontId="3" fillId="0" borderId="0" xfId="0" applyFont="1" applyAlignment="1">
      <alignment horizontal="left"/>
    </xf>
    <xf numFmtId="3" fontId="0" fillId="0" borderId="0" xfId="0" applyNumberFormat="1" applyAlignment="1">
      <alignment horizontal="right"/>
    </xf>
    <xf numFmtId="3" fontId="0" fillId="0" borderId="0" xfId="0" applyNumberFormat="1"/>
    <xf numFmtId="0" fontId="10" fillId="0" borderId="0" xfId="0" applyFont="1" applyAlignment="1">
      <alignment horizontal="right"/>
    </xf>
    <xf numFmtId="3" fontId="0" fillId="3" borderId="0" xfId="0" applyNumberFormat="1" applyFill="1"/>
    <xf numFmtId="3" fontId="3" fillId="3" borderId="0" xfId="0" applyNumberFormat="1" applyFont="1" applyFill="1"/>
    <xf numFmtId="9" fontId="3" fillId="3" borderId="0" xfId="2" applyFont="1" applyFill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3" fontId="0" fillId="3" borderId="0" xfId="0" applyNumberFormat="1" applyFill="1" applyAlignment="1">
      <alignment horizontal="right"/>
    </xf>
    <xf numFmtId="0" fontId="22" fillId="0" borderId="0" xfId="0" applyFont="1"/>
    <xf numFmtId="3" fontId="22" fillId="0" borderId="0" xfId="0" applyNumberFormat="1" applyFont="1"/>
    <xf numFmtId="0" fontId="10" fillId="3" borderId="3" xfId="0" applyFont="1" applyFill="1" applyBorder="1"/>
    <xf numFmtId="3" fontId="10" fillId="3" borderId="3" xfId="0" applyNumberFormat="1" applyFont="1" applyFill="1" applyBorder="1" applyAlignment="1">
      <alignment horizontal="right"/>
    </xf>
    <xf numFmtId="0" fontId="10" fillId="3" borderId="0" xfId="0" applyFont="1" applyFill="1" applyAlignment="1">
      <alignment horizontal="left"/>
    </xf>
    <xf numFmtId="0" fontId="23" fillId="0" borderId="0" xfId="0" applyFont="1"/>
    <xf numFmtId="3" fontId="23" fillId="0" borderId="0" xfId="0" applyNumberFormat="1" applyFont="1" applyAlignment="1">
      <alignment horizontal="right"/>
    </xf>
    <xf numFmtId="3" fontId="23" fillId="0" borderId="0" xfId="0" applyNumberFormat="1" applyFont="1"/>
    <xf numFmtId="0" fontId="3" fillId="0" borderId="0" xfId="0" applyFont="1" applyAlignment="1">
      <alignment vertical="center"/>
    </xf>
    <xf numFmtId="0" fontId="8" fillId="0" borderId="0" xfId="0" applyFont="1"/>
    <xf numFmtId="0" fontId="0" fillId="6" borderId="0" xfId="0" applyFill="1" applyAlignment="1">
      <alignment horizontal="center"/>
    </xf>
    <xf numFmtId="0" fontId="24" fillId="0" borderId="0" xfId="0" applyFont="1"/>
    <xf numFmtId="3" fontId="3" fillId="0" borderId="0" xfId="0" applyNumberFormat="1" applyFont="1"/>
    <xf numFmtId="168" fontId="0" fillId="0" borderId="0" xfId="2" applyNumberFormat="1" applyFont="1" applyBorder="1"/>
    <xf numFmtId="9" fontId="0" fillId="0" borderId="0" xfId="2" applyFont="1"/>
    <xf numFmtId="0" fontId="23" fillId="5" borderId="0" xfId="0" applyFont="1" applyFill="1"/>
    <xf numFmtId="0" fontId="25" fillId="0" borderId="0" xfId="0" applyFont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27" fillId="0" borderId="0" xfId="0" applyFont="1"/>
    <xf numFmtId="0" fontId="28" fillId="0" borderId="2" xfId="0" applyFont="1" applyBorder="1" applyAlignment="1">
      <alignment horizontal="center"/>
    </xf>
    <xf numFmtId="0" fontId="28" fillId="0" borderId="3" xfId="0" applyFont="1" applyBorder="1"/>
    <xf numFmtId="0" fontId="27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10" fontId="23" fillId="5" borderId="0" xfId="0" applyNumberFormat="1" applyFont="1" applyFill="1" applyAlignment="1">
      <alignment horizontal="center"/>
    </xf>
    <xf numFmtId="2" fontId="23" fillId="5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center"/>
    </xf>
    <xf numFmtId="0" fontId="25" fillId="5" borderId="0" xfId="0" applyFont="1" applyFill="1"/>
    <xf numFmtId="3" fontId="0" fillId="0" borderId="0" xfId="1" applyNumberFormat="1" applyFont="1" applyBorder="1"/>
    <xf numFmtId="166" fontId="3" fillId="0" borderId="0" xfId="1" applyFont="1" applyBorder="1"/>
    <xf numFmtId="3" fontId="3" fillId="3" borderId="0" xfId="1" applyNumberFormat="1" applyFont="1" applyFill="1" applyBorder="1" applyAlignment="1">
      <alignment horizontal="right"/>
    </xf>
    <xf numFmtId="3" fontId="3" fillId="3" borderId="0" xfId="1" applyNumberFormat="1" applyFont="1" applyFill="1" applyBorder="1"/>
    <xf numFmtId="10" fontId="0" fillId="0" borderId="0" xfId="0" applyNumberFormat="1" applyAlignment="1">
      <alignment horizontal="left"/>
    </xf>
    <xf numFmtId="0" fontId="3" fillId="5" borderId="0" xfId="0" applyFont="1" applyFill="1" applyAlignment="1">
      <alignment horizontal="left"/>
    </xf>
    <xf numFmtId="0" fontId="3" fillId="7" borderId="0" xfId="0" applyFont="1" applyFill="1"/>
    <xf numFmtId="9" fontId="3" fillId="7" borderId="0" xfId="0" applyNumberFormat="1" applyFont="1" applyFill="1"/>
    <xf numFmtId="171" fontId="3" fillId="7" borderId="0" xfId="0" applyNumberFormat="1" applyFont="1" applyFill="1"/>
    <xf numFmtId="0" fontId="10" fillId="4" borderId="0" xfId="0" applyFont="1" applyFill="1" applyAlignment="1">
      <alignment horizontal="center"/>
    </xf>
    <xf numFmtId="0" fontId="15" fillId="6" borderId="0" xfId="0" applyFont="1" applyFill="1" applyAlignment="1">
      <alignment horizontal="center"/>
    </xf>
    <xf numFmtId="3" fontId="15" fillId="6" borderId="0" xfId="1" applyNumberFormat="1" applyFont="1" applyFill="1" applyBorder="1" applyAlignment="1">
      <alignment horizontal="center"/>
    </xf>
    <xf numFmtId="0" fontId="10" fillId="6" borderId="0" xfId="0" applyFont="1" applyFill="1" applyAlignment="1">
      <alignment horizontal="center"/>
    </xf>
    <xf numFmtId="167" fontId="0" fillId="5" borderId="0" xfId="1" applyNumberFormat="1" applyFont="1" applyFill="1" applyBorder="1" applyAlignment="1">
      <alignment horizontal="center"/>
    </xf>
    <xf numFmtId="3" fontId="1" fillId="5" borderId="0" xfId="1" applyNumberFormat="1" applyFont="1" applyFill="1" applyBorder="1" applyAlignment="1">
      <alignment horizontal="center"/>
    </xf>
    <xf numFmtId="0" fontId="23" fillId="5" borderId="0" xfId="0" applyFont="1" applyFill="1" applyAlignment="1">
      <alignment horizontal="left"/>
    </xf>
    <xf numFmtId="0" fontId="3" fillId="4" borderId="0" xfId="0" applyFont="1" applyFill="1" applyAlignment="1">
      <alignment horizontal="left" vertical="center"/>
    </xf>
    <xf numFmtId="4" fontId="15" fillId="0" borderId="3" xfId="0" applyNumberFormat="1" applyFont="1" applyBorder="1" applyAlignment="1">
      <alignment horizontal="right"/>
    </xf>
    <xf numFmtId="4" fontId="23" fillId="5" borderId="0" xfId="0" applyNumberFormat="1" applyFont="1" applyFill="1" applyAlignment="1">
      <alignment horizontal="right"/>
    </xf>
    <xf numFmtId="168" fontId="3" fillId="0" borderId="0" xfId="0" applyNumberFormat="1" applyFont="1"/>
    <xf numFmtId="168" fontId="0" fillId="5" borderId="0" xfId="0" applyNumberFormat="1" applyFill="1"/>
    <xf numFmtId="168" fontId="3" fillId="5" borderId="0" xfId="0" applyNumberFormat="1" applyFont="1" applyFill="1"/>
    <xf numFmtId="168" fontId="3" fillId="0" borderId="0" xfId="2" applyNumberFormat="1" applyFont="1" applyBorder="1"/>
    <xf numFmtId="168" fontId="24" fillId="0" borderId="0" xfId="0" applyNumberFormat="1" applyFont="1"/>
    <xf numFmtId="3" fontId="6" fillId="6" borderId="0" xfId="0" applyNumberFormat="1" applyFont="1" applyFill="1"/>
    <xf numFmtId="3" fontId="6" fillId="5" borderId="0" xfId="1" applyNumberFormat="1" applyFont="1" applyFill="1" applyBorder="1"/>
    <xf numFmtId="170" fontId="3" fillId="0" borderId="0" xfId="0" applyNumberFormat="1" applyFont="1"/>
    <xf numFmtId="9" fontId="6" fillId="5" borderId="0" xfId="2" applyFont="1" applyFill="1" applyBorder="1"/>
    <xf numFmtId="171" fontId="0" fillId="0" borderId="0" xfId="0" applyNumberFormat="1"/>
    <xf numFmtId="9" fontId="2" fillId="5" borderId="0" xfId="2" applyFont="1" applyFill="1" applyBorder="1"/>
    <xf numFmtId="9" fontId="24" fillId="5" borderId="0" xfId="2" applyFont="1" applyFill="1" applyBorder="1"/>
    <xf numFmtId="0" fontId="11" fillId="0" borderId="0" xfId="0" applyFont="1" applyAlignment="1">
      <alignment horizontal="center"/>
    </xf>
    <xf numFmtId="0" fontId="11" fillId="0" borderId="0" xfId="0" applyFont="1"/>
    <xf numFmtId="0" fontId="12" fillId="0" borderId="0" xfId="0" applyFont="1" applyAlignment="1">
      <alignment horizontal="center"/>
    </xf>
    <xf numFmtId="10" fontId="12" fillId="0" borderId="0" xfId="0" applyNumberFormat="1" applyFont="1"/>
    <xf numFmtId="0" fontId="10" fillId="0" borderId="0" xfId="0" applyFont="1" applyAlignment="1">
      <alignment horizontal="right" vertical="center" wrapText="1"/>
    </xf>
    <xf numFmtId="2" fontId="23" fillId="0" borderId="0" xfId="0" applyNumberFormat="1" applyFont="1" applyAlignment="1">
      <alignment horizontal="center"/>
    </xf>
    <xf numFmtId="9" fontId="24" fillId="5" borderId="0" xfId="0" applyNumberFormat="1" applyFont="1" applyFill="1"/>
    <xf numFmtId="0" fontId="3" fillId="8" borderId="0" xfId="0" applyFont="1" applyFill="1"/>
    <xf numFmtId="170" fontId="0" fillId="0" borderId="0" xfId="0" applyNumberFormat="1"/>
    <xf numFmtId="0" fontId="14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center"/>
    </xf>
    <xf numFmtId="167" fontId="3" fillId="5" borderId="0" xfId="1" applyNumberFormat="1" applyFont="1" applyFill="1" applyBorder="1"/>
    <xf numFmtId="167" fontId="3" fillId="5" borderId="0" xfId="1" applyNumberFormat="1" applyFont="1" applyFill="1" applyBorder="1" applyAlignment="1">
      <alignment horizontal="center"/>
    </xf>
    <xf numFmtId="9" fontId="0" fillId="5" borderId="0" xfId="2" applyFont="1" applyFill="1" applyBorder="1"/>
    <xf numFmtId="168" fontId="10" fillId="0" borderId="0" xfId="2" applyNumberFormat="1" applyFont="1" applyAlignment="1">
      <alignment horizontal="left"/>
    </xf>
    <xf numFmtId="9" fontId="0" fillId="5" borderId="0" xfId="0" applyNumberFormat="1" applyFill="1" applyAlignment="1">
      <alignment horizontal="left"/>
    </xf>
    <xf numFmtId="3" fontId="10" fillId="0" borderId="0" xfId="0" applyNumberFormat="1" applyFont="1" applyAlignment="1">
      <alignment horizontal="right"/>
    </xf>
    <xf numFmtId="3" fontId="3" fillId="3" borderId="0" xfId="0" applyNumberFormat="1" applyFont="1" applyFill="1" applyAlignment="1">
      <alignment horizontal="right"/>
    </xf>
    <xf numFmtId="0" fontId="3" fillId="2" borderId="0" xfId="0" applyFont="1" applyFill="1" applyAlignment="1">
      <alignment horizontal="center" vertical="center"/>
    </xf>
    <xf numFmtId="0" fontId="0" fillId="5" borderId="0" xfId="0" applyFill="1" applyAlignment="1">
      <alignment vertical="center" wrapText="1"/>
    </xf>
    <xf numFmtId="3" fontId="0" fillId="0" borderId="0" xfId="1" applyNumberFormat="1" applyFont="1" applyFill="1" applyBorder="1" applyAlignment="1">
      <alignment horizontal="right"/>
    </xf>
    <xf numFmtId="3" fontId="0" fillId="3" borderId="1" xfId="0" applyNumberFormat="1" applyFill="1" applyBorder="1"/>
    <xf numFmtId="3" fontId="0" fillId="0" borderId="0" xfId="1" applyNumberFormat="1" applyFont="1" applyBorder="1" applyAlignment="1">
      <alignment horizontal="right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3" fontId="3" fillId="0" borderId="0" xfId="1" applyNumberFormat="1" applyFont="1" applyBorder="1"/>
    <xf numFmtId="0" fontId="10" fillId="2" borderId="0" xfId="0" applyFont="1" applyFill="1" applyAlignment="1">
      <alignment horizontal="center" vertical="center"/>
    </xf>
    <xf numFmtId="167" fontId="3" fillId="3" borderId="0" xfId="0" applyNumberFormat="1" applyFont="1" applyFill="1" applyAlignment="1">
      <alignment horizontal="right"/>
    </xf>
    <xf numFmtId="3" fontId="0" fillId="0" borderId="0" xfId="0" applyNumberFormat="1" applyAlignment="1">
      <alignment vertical="center"/>
    </xf>
    <xf numFmtId="0" fontId="21" fillId="10" borderId="0" xfId="0" applyFont="1" applyFill="1" applyAlignment="1">
      <alignment horizontal="left" vertical="center"/>
    </xf>
    <xf numFmtId="0" fontId="3" fillId="10" borderId="0" xfId="0" applyFont="1" applyFill="1" applyAlignment="1">
      <alignment horizontal="center" vertical="center"/>
    </xf>
    <xf numFmtId="168" fontId="3" fillId="3" borderId="0" xfId="2" applyNumberFormat="1" applyFont="1" applyFill="1" applyBorder="1"/>
    <xf numFmtId="0" fontId="8" fillId="0" borderId="0" xfId="0" applyFont="1" applyAlignment="1">
      <alignment vertical="center"/>
    </xf>
    <xf numFmtId="0" fontId="3" fillId="10" borderId="0" xfId="0" applyFont="1" applyFill="1" applyAlignment="1">
      <alignment vertical="center"/>
    </xf>
    <xf numFmtId="170" fontId="3" fillId="3" borderId="0" xfId="0" applyNumberFormat="1" applyFont="1" applyFill="1"/>
    <xf numFmtId="3" fontId="0" fillId="0" borderId="0" xfId="1" applyNumberFormat="1" applyFont="1" applyFill="1" applyBorder="1" applyAlignment="1"/>
    <xf numFmtId="168" fontId="0" fillId="0" borderId="0" xfId="2" applyNumberFormat="1" applyFont="1" applyFill="1" applyBorder="1" applyAlignment="1">
      <alignment horizontal="right"/>
    </xf>
    <xf numFmtId="0" fontId="3" fillId="8" borderId="0" xfId="0" applyFont="1" applyFill="1" applyAlignment="1">
      <alignment horizontal="center" vertical="center"/>
    </xf>
    <xf numFmtId="0" fontId="17" fillId="2" borderId="0" xfId="0" applyFont="1" applyFill="1"/>
    <xf numFmtId="0" fontId="3" fillId="2" borderId="0" xfId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24" fillId="5" borderId="0" xfId="0" applyFont="1" applyFill="1" applyAlignment="1">
      <alignment horizontal="center"/>
    </xf>
    <xf numFmtId="3" fontId="3" fillId="3" borderId="5" xfId="1" applyNumberFormat="1" applyFont="1" applyFill="1" applyBorder="1"/>
    <xf numFmtId="0" fontId="3" fillId="3" borderId="5" xfId="0" applyFont="1" applyFill="1" applyBorder="1"/>
    <xf numFmtId="0" fontId="0" fillId="3" borderId="5" xfId="0" applyFill="1" applyBorder="1"/>
    <xf numFmtId="0" fontId="0" fillId="0" borderId="1" xfId="0" applyBorder="1"/>
    <xf numFmtId="0" fontId="0" fillId="5" borderId="5" xfId="0" applyFill="1" applyBorder="1"/>
    <xf numFmtId="168" fontId="0" fillId="0" borderId="5" xfId="2" applyNumberFormat="1" applyFont="1" applyFill="1" applyBorder="1" applyAlignment="1">
      <alignment horizontal="right"/>
    </xf>
    <xf numFmtId="0" fontId="0" fillId="0" borderId="5" xfId="0" applyBorder="1"/>
    <xf numFmtId="0" fontId="19" fillId="5" borderId="0" xfId="0" applyFont="1" applyFill="1"/>
    <xf numFmtId="0" fontId="3" fillId="0" borderId="5" xfId="0" applyFont="1" applyBorder="1"/>
    <xf numFmtId="3" fontId="0" fillId="0" borderId="0" xfId="1" applyNumberFormat="1" applyFont="1" applyFill="1" applyBorder="1"/>
    <xf numFmtId="4" fontId="0" fillId="0" borderId="0" xfId="1" applyNumberFormat="1" applyFont="1" applyFill="1" applyBorder="1"/>
    <xf numFmtId="166" fontId="0" fillId="0" borderId="0" xfId="1" applyFont="1" applyFill="1" applyBorder="1"/>
    <xf numFmtId="10" fontId="0" fillId="0" borderId="0" xfId="0" applyNumberFormat="1"/>
    <xf numFmtId="0" fontId="3" fillId="2" borderId="0" xfId="0" applyFont="1" applyFill="1" applyAlignment="1">
      <alignment horizontal="left" vertical="center"/>
    </xf>
    <xf numFmtId="167" fontId="0" fillId="3" borderId="5" xfId="1" applyNumberFormat="1" applyFont="1" applyFill="1" applyBorder="1" applyAlignment="1">
      <alignment horizontal="center"/>
    </xf>
    <xf numFmtId="3" fontId="3" fillId="3" borderId="5" xfId="1" applyNumberFormat="1" applyFont="1" applyFill="1" applyBorder="1" applyAlignment="1">
      <alignment horizontal="right"/>
    </xf>
    <xf numFmtId="3" fontId="0" fillId="3" borderId="5" xfId="1" applyNumberFormat="1" applyFont="1" applyFill="1" applyBorder="1"/>
    <xf numFmtId="3" fontId="3" fillId="3" borderId="5" xfId="0" applyNumberFormat="1" applyFont="1" applyFill="1" applyBorder="1"/>
    <xf numFmtId="170" fontId="0" fillId="0" borderId="0" xfId="1" applyNumberFormat="1" applyFont="1" applyFill="1" applyBorder="1" applyAlignment="1">
      <alignment horizontal="right"/>
    </xf>
    <xf numFmtId="3" fontId="3" fillId="3" borderId="1" xfId="1" applyNumberFormat="1" applyFont="1" applyFill="1" applyBorder="1" applyAlignment="1">
      <alignment horizontal="right"/>
    </xf>
    <xf numFmtId="0" fontId="3" fillId="0" borderId="1" xfId="0" applyFont="1" applyBorder="1"/>
    <xf numFmtId="3" fontId="19" fillId="0" borderId="0" xfId="1" applyNumberFormat="1" applyFont="1" applyFill="1" applyBorder="1" applyAlignment="1">
      <alignment horizontal="right"/>
    </xf>
    <xf numFmtId="0" fontId="3" fillId="2" borderId="0" xfId="0" applyFont="1" applyFill="1" applyAlignment="1">
      <alignment vertical="center"/>
    </xf>
    <xf numFmtId="168" fontId="0" fillId="0" borderId="0" xfId="2" applyNumberFormat="1" applyFont="1" applyFill="1"/>
    <xf numFmtId="168" fontId="2" fillId="0" borderId="0" xfId="2" applyNumberFormat="1" applyFont="1" applyFill="1" applyBorder="1"/>
    <xf numFmtId="168" fontId="2" fillId="0" borderId="1" xfId="2" applyNumberFormat="1" applyFont="1" applyFill="1" applyBorder="1"/>
    <xf numFmtId="3" fontId="2" fillId="3" borderId="0" xfId="1" applyNumberFormat="1" applyFont="1" applyFill="1" applyBorder="1"/>
    <xf numFmtId="168" fontId="0" fillId="0" borderId="0" xfId="2" applyNumberFormat="1" applyFont="1"/>
    <xf numFmtId="3" fontId="2" fillId="0" borderId="1" xfId="1" applyNumberFormat="1" applyFont="1" applyFill="1" applyBorder="1"/>
    <xf numFmtId="168" fontId="3" fillId="3" borderId="0" xfId="2" applyNumberFormat="1" applyFont="1" applyFill="1"/>
    <xf numFmtId="0" fontId="3" fillId="2" borderId="0" xfId="0" quotePrefix="1" applyFont="1" applyFill="1" applyAlignment="1">
      <alignment horizontal="center"/>
    </xf>
    <xf numFmtId="0" fontId="0" fillId="2" borderId="0" xfId="0" applyFill="1"/>
    <xf numFmtId="0" fontId="0" fillId="2" borderId="5" xfId="0" applyFill="1" applyBorder="1" applyAlignment="1">
      <alignment horizontal="center"/>
    </xf>
    <xf numFmtId="10" fontId="0" fillId="3" borderId="5" xfId="0" applyNumberFormat="1" applyFill="1" applyBorder="1" applyAlignment="1">
      <alignment horizontal="right"/>
    </xf>
    <xf numFmtId="168" fontId="0" fillId="3" borderId="5" xfId="0" applyNumberFormat="1" applyFill="1" applyBorder="1" applyAlignment="1">
      <alignment horizontal="right"/>
    </xf>
    <xf numFmtId="167" fontId="2" fillId="0" borderId="0" xfId="1" applyNumberFormat="1" applyFont="1" applyFill="1" applyBorder="1"/>
    <xf numFmtId="0" fontId="17" fillId="2" borderId="1" xfId="0" applyFont="1" applyFill="1" applyBorder="1" applyAlignment="1">
      <alignment horizontal="center"/>
    </xf>
    <xf numFmtId="167" fontId="3" fillId="3" borderId="1" xfId="1" applyNumberFormat="1" applyFont="1" applyFill="1" applyBorder="1"/>
    <xf numFmtId="0" fontId="3" fillId="2" borderId="5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5" xfId="0" quotePrefix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9" fontId="0" fillId="2" borderId="1" xfId="0" applyNumberFormat="1" applyFill="1" applyBorder="1" applyAlignment="1">
      <alignment horizontal="center"/>
    </xf>
    <xf numFmtId="9" fontId="3" fillId="2" borderId="0" xfId="0" applyNumberFormat="1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0" fontId="3" fillId="3" borderId="1" xfId="0" applyFont="1" applyFill="1" applyBorder="1"/>
    <xf numFmtId="9" fontId="3" fillId="3" borderId="5" xfId="2" applyFont="1" applyFill="1" applyBorder="1"/>
    <xf numFmtId="9" fontId="3" fillId="2" borderId="5" xfId="2" applyFont="1" applyFill="1" applyBorder="1" applyAlignment="1">
      <alignment horizontal="center"/>
    </xf>
    <xf numFmtId="170" fontId="3" fillId="3" borderId="5" xfId="0" applyNumberFormat="1" applyFont="1" applyFill="1" applyBorder="1"/>
    <xf numFmtId="0" fontId="10" fillId="2" borderId="0" xfId="0" applyFont="1" applyFill="1" applyAlignment="1">
      <alignment vertical="center"/>
    </xf>
    <xf numFmtId="3" fontId="3" fillId="2" borderId="0" xfId="0" applyNumberFormat="1" applyFont="1" applyFill="1" applyAlignment="1">
      <alignment horizontal="center"/>
    </xf>
    <xf numFmtId="168" fontId="0" fillId="0" borderId="1" xfId="2" applyNumberFormat="1" applyFont="1" applyBorder="1"/>
    <xf numFmtId="168" fontId="3" fillId="3" borderId="5" xfId="2" applyNumberFormat="1" applyFont="1" applyFill="1" applyBorder="1"/>
    <xf numFmtId="3" fontId="0" fillId="3" borderId="5" xfId="0" applyNumberFormat="1" applyFill="1" applyBorder="1"/>
    <xf numFmtId="0" fontId="3" fillId="5" borderId="5" xfId="0" applyFont="1" applyFill="1" applyBorder="1"/>
    <xf numFmtId="0" fontId="0" fillId="0" borderId="6" xfId="0" applyBorder="1"/>
    <xf numFmtId="0" fontId="0" fillId="2" borderId="7" xfId="0" applyFill="1" applyBorder="1" applyAlignment="1">
      <alignment horizontal="center"/>
    </xf>
    <xf numFmtId="9" fontId="0" fillId="3" borderId="8" xfId="2" applyFont="1" applyFill="1" applyBorder="1"/>
    <xf numFmtId="0" fontId="0" fillId="0" borderId="9" xfId="0" applyBorder="1"/>
    <xf numFmtId="0" fontId="0" fillId="2" borderId="10" xfId="0" applyFill="1" applyBorder="1" applyAlignment="1">
      <alignment horizontal="center"/>
    </xf>
    <xf numFmtId="4" fontId="0" fillId="3" borderId="11" xfId="1" applyNumberFormat="1" applyFont="1" applyFill="1" applyBorder="1" applyAlignment="1">
      <alignment horizontal="right"/>
    </xf>
    <xf numFmtId="3" fontId="0" fillId="0" borderId="0" xfId="2" applyNumberFormat="1" applyFont="1" applyFill="1" applyBorder="1"/>
    <xf numFmtId="0" fontId="18" fillId="0" borderId="0" xfId="0" applyFont="1" applyAlignment="1">
      <alignment horizontal="center" vertical="center"/>
    </xf>
    <xf numFmtId="3" fontId="0" fillId="3" borderId="0" xfId="1" applyNumberFormat="1" applyFont="1" applyFill="1" applyBorder="1"/>
    <xf numFmtId="4" fontId="0" fillId="3" borderId="0" xfId="1" applyNumberFormat="1" applyFont="1" applyFill="1" applyBorder="1"/>
    <xf numFmtId="0" fontId="3" fillId="6" borderId="5" xfId="0" applyFont="1" applyFill="1" applyBorder="1"/>
    <xf numFmtId="167" fontId="3" fillId="6" borderId="5" xfId="0" applyNumberFormat="1" applyFont="1" applyFill="1" applyBorder="1"/>
    <xf numFmtId="3" fontId="3" fillId="6" borderId="5" xfId="0" applyNumberFormat="1" applyFont="1" applyFill="1" applyBorder="1" applyAlignment="1">
      <alignment horizontal="right"/>
    </xf>
    <xf numFmtId="3" fontId="3" fillId="0" borderId="0" xfId="1" applyNumberFormat="1" applyFont="1" applyFill="1" applyBorder="1"/>
    <xf numFmtId="3" fontId="0" fillId="0" borderId="5" xfId="0" applyNumberFormat="1" applyBorder="1"/>
    <xf numFmtId="0" fontId="3" fillId="8" borderId="0" xfId="0" applyFont="1" applyFill="1" applyAlignment="1">
      <alignment vertical="center"/>
    </xf>
    <xf numFmtId="168" fontId="0" fillId="3" borderId="0" xfId="2" applyNumberFormat="1" applyFont="1" applyFill="1"/>
    <xf numFmtId="10" fontId="0" fillId="2" borderId="0" xfId="2" applyNumberFormat="1" applyFont="1" applyFill="1" applyBorder="1" applyAlignment="1">
      <alignment horizontal="center"/>
    </xf>
    <xf numFmtId="0" fontId="0" fillId="3" borderId="5" xfId="0" applyFill="1" applyBorder="1" applyAlignment="1">
      <alignment vertical="center"/>
    </xf>
    <xf numFmtId="3" fontId="0" fillId="3" borderId="5" xfId="0" applyNumberFormat="1" applyFill="1" applyBorder="1" applyAlignment="1">
      <alignment vertical="center"/>
    </xf>
    <xf numFmtId="3" fontId="3" fillId="0" borderId="5" xfId="0" applyNumberFormat="1" applyFont="1" applyBorder="1"/>
    <xf numFmtId="3" fontId="0" fillId="0" borderId="0" xfId="0" applyNumberFormat="1" applyAlignment="1">
      <alignment horizontal="center"/>
    </xf>
    <xf numFmtId="0" fontId="0" fillId="0" borderId="0" xfId="0" quotePrefix="1"/>
    <xf numFmtId="0" fontId="3" fillId="3" borderId="0" xfId="0" quotePrefix="1" applyFont="1" applyFill="1"/>
    <xf numFmtId="0" fontId="30" fillId="0" borderId="0" xfId="0" applyFont="1" applyAlignment="1">
      <alignment vertical="center"/>
    </xf>
    <xf numFmtId="0" fontId="10" fillId="2" borderId="0" xfId="0" applyFont="1" applyFill="1"/>
    <xf numFmtId="3" fontId="10" fillId="0" borderId="3" xfId="0" applyNumberFormat="1" applyFont="1" applyBorder="1" applyAlignment="1">
      <alignment horizontal="right"/>
    </xf>
    <xf numFmtId="3" fontId="10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left"/>
    </xf>
    <xf numFmtId="3" fontId="10" fillId="3" borderId="1" xfId="0" applyNumberFormat="1" applyFont="1" applyFill="1" applyBorder="1" applyAlignment="1">
      <alignment horizontal="right"/>
    </xf>
    <xf numFmtId="0" fontId="10" fillId="0" borderId="0" xfId="0" applyFont="1" applyAlignment="1">
      <alignment horizontal="left"/>
    </xf>
    <xf numFmtId="0" fontId="10" fillId="0" borderId="3" xfId="0" applyFont="1" applyBorder="1" applyAlignment="1">
      <alignment horizontal="left"/>
    </xf>
    <xf numFmtId="0" fontId="0" fillId="0" borderId="0" xfId="0" applyAlignment="1">
      <alignment horizontal="left" indent="1"/>
    </xf>
    <xf numFmtId="0" fontId="10" fillId="3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10" fontId="1" fillId="2" borderId="0" xfId="0" applyNumberFormat="1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10" fontId="1" fillId="2" borderId="0" xfId="0" applyNumberFormat="1" applyFont="1" applyFill="1"/>
    <xf numFmtId="3" fontId="19" fillId="0" borderId="0" xfId="0" applyNumberFormat="1" applyFont="1"/>
    <xf numFmtId="3" fontId="19" fillId="0" borderId="1" xfId="0" applyNumberFormat="1" applyFont="1" applyBorder="1"/>
    <xf numFmtId="3" fontId="31" fillId="3" borderId="0" xfId="0" applyNumberFormat="1" applyFont="1" applyFill="1"/>
    <xf numFmtId="9" fontId="31" fillId="3" borderId="5" xfId="2" applyFont="1" applyFill="1" applyBorder="1"/>
    <xf numFmtId="0" fontId="19" fillId="0" borderId="0" xfId="0" applyFont="1"/>
    <xf numFmtId="3" fontId="31" fillId="0" borderId="0" xfId="0" applyNumberFormat="1" applyFont="1"/>
    <xf numFmtId="9" fontId="0" fillId="3" borderId="0" xfId="2" applyFont="1" applyFill="1" applyBorder="1"/>
    <xf numFmtId="3" fontId="10" fillId="0" borderId="0" xfId="0" applyNumberFormat="1" applyFont="1" applyAlignment="1">
      <alignment horizontal="left"/>
    </xf>
    <xf numFmtId="0" fontId="3" fillId="2" borderId="0" xfId="0" applyFont="1" applyFill="1" applyAlignment="1">
      <alignment horizontal="left" vertical="center" wrapText="1"/>
    </xf>
    <xf numFmtId="0" fontId="0" fillId="2" borderId="0" xfId="0" quotePrefix="1" applyFill="1" applyAlignment="1">
      <alignment horizontal="center"/>
    </xf>
    <xf numFmtId="0" fontId="31" fillId="2" borderId="0" xfId="0" applyFont="1" applyFill="1" applyAlignment="1">
      <alignment horizontal="center" vertical="center"/>
    </xf>
    <xf numFmtId="3" fontId="0" fillId="0" borderId="1" xfId="0" applyNumberFormat="1" applyBorder="1"/>
    <xf numFmtId="170" fontId="0" fillId="0" borderId="1" xfId="0" applyNumberFormat="1" applyBorder="1"/>
    <xf numFmtId="0" fontId="0" fillId="5" borderId="0" xfId="0" applyFill="1" applyAlignment="1">
      <alignment wrapText="1"/>
    </xf>
    <xf numFmtId="3" fontId="0" fillId="2" borderId="0" xfId="0" applyNumberFormat="1" applyFill="1" applyAlignment="1">
      <alignment horizontal="center"/>
    </xf>
    <xf numFmtId="3" fontId="0" fillId="2" borderId="1" xfId="0" applyNumberFormat="1" applyFill="1" applyBorder="1" applyAlignment="1">
      <alignment horizontal="center"/>
    </xf>
    <xf numFmtId="0" fontId="3" fillId="5" borderId="0" xfId="0" applyFont="1" applyFill="1" applyAlignment="1">
      <alignment horizontal="center" vertical="center"/>
    </xf>
    <xf numFmtId="9" fontId="0" fillId="0" borderId="0" xfId="0" applyNumberFormat="1" applyAlignment="1">
      <alignment vertical="center"/>
    </xf>
    <xf numFmtId="0" fontId="3" fillId="10" borderId="0" xfId="0" applyFont="1" applyFill="1" applyAlignment="1">
      <alignment horizontal="right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right" vertical="center"/>
    </xf>
    <xf numFmtId="9" fontId="3" fillId="0" borderId="0" xfId="2" applyFont="1" applyAlignment="1">
      <alignment horizontal="right" vertical="center"/>
    </xf>
    <xf numFmtId="3" fontId="19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right"/>
    </xf>
    <xf numFmtId="0" fontId="32" fillId="5" borderId="0" xfId="0" applyFont="1" applyFill="1" applyAlignment="1">
      <alignment horizontal="left"/>
    </xf>
    <xf numFmtId="0" fontId="0" fillId="0" borderId="0" xfId="0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3" fillId="5" borderId="12" xfId="0" applyFont="1" applyFill="1" applyBorder="1" applyAlignment="1">
      <alignment wrapText="1"/>
    </xf>
    <xf numFmtId="0" fontId="0" fillId="2" borderId="12" xfId="0" applyFill="1" applyBorder="1"/>
    <xf numFmtId="0" fontId="0" fillId="0" borderId="12" xfId="0" applyBorder="1" applyAlignment="1">
      <alignment horizontal="right" vertical="center"/>
    </xf>
    <xf numFmtId="0" fontId="3" fillId="5" borderId="1" xfId="0" applyFont="1" applyFill="1" applyBorder="1" applyAlignment="1">
      <alignment wrapText="1"/>
    </xf>
    <xf numFmtId="3" fontId="3" fillId="0" borderId="1" xfId="0" applyNumberFormat="1" applyFont="1" applyBorder="1"/>
    <xf numFmtId="0" fontId="10" fillId="0" borderId="0" xfId="0" applyFont="1" applyAlignment="1">
      <alignment horizontal="center"/>
    </xf>
    <xf numFmtId="3" fontId="10" fillId="0" borderId="0" xfId="0" applyNumberFormat="1" applyFont="1" applyAlignment="1">
      <alignment horizontal="center"/>
    </xf>
    <xf numFmtId="172" fontId="3" fillId="0" borderId="0" xfId="3" applyNumberFormat="1" applyFont="1" applyAlignment="1">
      <alignment horizontal="right" vertical="center"/>
    </xf>
    <xf numFmtId="1" fontId="0" fillId="0" borderId="0" xfId="0" applyNumberFormat="1"/>
    <xf numFmtId="3" fontId="1" fillId="3" borderId="0" xfId="1" applyNumberFormat="1" applyFont="1" applyFill="1" applyBorder="1" applyAlignment="1">
      <alignment horizontal="center"/>
    </xf>
    <xf numFmtId="0" fontId="33" fillId="5" borderId="0" xfId="0" applyFont="1" applyFill="1" applyAlignment="1">
      <alignment horizontal="left"/>
    </xf>
    <xf numFmtId="0" fontId="0" fillId="9" borderId="0" xfId="0" applyFill="1" applyAlignment="1">
      <alignment horizontal="center" vertical="center"/>
    </xf>
    <xf numFmtId="3" fontId="0" fillId="9" borderId="0" xfId="1" applyNumberFormat="1" applyFont="1" applyFill="1" applyBorder="1" applyAlignment="1"/>
    <xf numFmtId="3" fontId="0" fillId="9" borderId="0" xfId="0" applyNumberFormat="1" applyFill="1" applyAlignment="1">
      <alignment horizontal="right"/>
    </xf>
    <xf numFmtId="3" fontId="0" fillId="0" borderId="0" xfId="1" applyNumberFormat="1" applyFont="1" applyFill="1" applyBorder="1" applyAlignment="1">
      <alignment horizontal="center"/>
    </xf>
    <xf numFmtId="3" fontId="3" fillId="3" borderId="0" xfId="1" applyNumberFormat="1" applyFont="1" applyFill="1" applyBorder="1" applyAlignment="1">
      <alignment horizontal="center"/>
    </xf>
    <xf numFmtId="3" fontId="0" fillId="0" borderId="0" xfId="1" applyNumberFormat="1" applyFont="1" applyBorder="1" applyAlignment="1">
      <alignment horizontal="center"/>
    </xf>
    <xf numFmtId="9" fontId="2" fillId="0" borderId="0" xfId="2" applyFont="1" applyFill="1" applyBorder="1" applyAlignment="1">
      <alignment horizontal="center"/>
    </xf>
    <xf numFmtId="3" fontId="3" fillId="3" borderId="5" xfId="1" applyNumberFormat="1" applyFont="1" applyFill="1" applyBorder="1" applyAlignment="1">
      <alignment horizontal="center"/>
    </xf>
    <xf numFmtId="0" fontId="0" fillId="0" borderId="13" xfId="0" applyBorder="1"/>
    <xf numFmtId="0" fontId="0" fillId="2" borderId="13" xfId="0" applyFill="1" applyBorder="1" applyAlignment="1">
      <alignment horizontal="center"/>
    </xf>
    <xf numFmtId="3" fontId="0" fillId="3" borderId="13" xfId="0" applyNumberFormat="1" applyFill="1" applyBorder="1"/>
    <xf numFmtId="3" fontId="0" fillId="5" borderId="0" xfId="0" applyNumberFormat="1" applyFill="1" applyAlignment="1">
      <alignment horizontal="right"/>
    </xf>
    <xf numFmtId="0" fontId="0" fillId="0" borderId="14" xfId="0" applyBorder="1"/>
    <xf numFmtId="0" fontId="0" fillId="2" borderId="15" xfId="0" applyFill="1" applyBorder="1" applyAlignment="1">
      <alignment horizontal="center"/>
    </xf>
    <xf numFmtId="4" fontId="0" fillId="3" borderId="16" xfId="1" applyNumberFormat="1" applyFont="1" applyFill="1" applyBorder="1" applyAlignment="1">
      <alignment horizontal="right"/>
    </xf>
    <xf numFmtId="0" fontId="25" fillId="5" borderId="0" xfId="0" applyFont="1" applyFill="1" applyAlignment="1">
      <alignment horizontal="center" vertical="center" wrapText="1"/>
    </xf>
    <xf numFmtId="166" fontId="19" fillId="3" borderId="0" xfId="1" applyFont="1" applyFill="1" applyAlignment="1">
      <alignment vertical="center"/>
    </xf>
    <xf numFmtId="166" fontId="0" fillId="5" borderId="0" xfId="0" applyNumberFormat="1" applyFill="1" applyAlignment="1">
      <alignment vertical="center"/>
    </xf>
    <xf numFmtId="164" fontId="0" fillId="0" borderId="0" xfId="0" applyNumberFormat="1"/>
    <xf numFmtId="3" fontId="35" fillId="5" borderId="0" xfId="0" applyNumberFormat="1" applyFont="1" applyFill="1"/>
    <xf numFmtId="167" fontId="0" fillId="0" borderId="0" xfId="1" applyNumberFormat="1" applyFont="1"/>
    <xf numFmtId="0" fontId="0" fillId="0" borderId="17" xfId="0" applyBorder="1"/>
    <xf numFmtId="4" fontId="3" fillId="3" borderId="0" xfId="0" applyNumberFormat="1" applyFont="1" applyFill="1" applyAlignment="1">
      <alignment horizontal="left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 vertical="center"/>
    </xf>
    <xf numFmtId="0" fontId="14" fillId="0" borderId="1" xfId="0" applyFont="1" applyBorder="1" applyAlignment="1">
      <alignment horizontal="center" vertical="center" wrapText="1"/>
    </xf>
    <xf numFmtId="3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4">
    <cellStyle name="Comma" xfId="1" builtinId="3"/>
    <cellStyle name="Currency" xfId="3" builtinId="4"/>
    <cellStyle name="Normal" xfId="0" builtinId="0"/>
    <cellStyle name="Per cent" xfId="2" builtinId="5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367B9"/>
      <color rgb="FFDDD0E3"/>
      <color rgb="FFE37D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Revenue in  '000</a:t>
            </a:r>
          </a:p>
        </c:rich>
      </c:tx>
      <c:layout>
        <c:manualLayout>
          <c:xMode val="edge"/>
          <c:yMode val="edge"/>
          <c:x val="0.42162034695610195"/>
          <c:y val="1.5676396273503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Revenue!$B$9</c:f>
              <c:strCache>
                <c:ptCount val="1"/>
                <c:pt idx="0">
                  <c:v>Standard - Revenue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Revenue!$D$15:$H$15</c:f>
              <c:numCache>
                <c:formatCode>General</c:formatCode>
                <c:ptCount val="5"/>
              </c:numCache>
            </c:numRef>
          </c:cat>
          <c:val>
            <c:numRef>
              <c:f>Revenue!$D$9:$H$9</c:f>
              <c:numCache>
                <c:formatCode>#,##0</c:formatCode>
                <c:ptCount val="5"/>
                <c:pt idx="0">
                  <c:v>3850</c:v>
                </c:pt>
                <c:pt idx="1">
                  <c:v>6669.25</c:v>
                </c:pt>
                <c:pt idx="2">
                  <c:v>10025.504999999999</c:v>
                </c:pt>
                <c:pt idx="3">
                  <c:v>15298.178</c:v>
                </c:pt>
                <c:pt idx="4">
                  <c:v>17332.835673999998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97-D14F-91A4-CBBC0DD0CF68}"/>
            </c:ext>
          </c:extLst>
        </c:ser>
        <c:ser>
          <c:idx val="2"/>
          <c:order val="1"/>
          <c:tx>
            <c:strRef>
              <c:f>Revenue!$B$13</c:f>
              <c:strCache>
                <c:ptCount val="1"/>
                <c:pt idx="0">
                  <c:v>Premium - Revenue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Revenue!$D$15:$H$15</c:f>
              <c:numCache>
                <c:formatCode>General</c:formatCode>
                <c:ptCount val="5"/>
              </c:numCache>
            </c:numRef>
          </c:cat>
          <c:val>
            <c:numRef>
              <c:f>Revenue!$D$13:$H$13</c:f>
              <c:numCache>
                <c:formatCode>#,##0</c:formatCode>
                <c:ptCount val="5"/>
                <c:pt idx="0">
                  <c:v>4275</c:v>
                </c:pt>
                <c:pt idx="1">
                  <c:v>5985</c:v>
                </c:pt>
                <c:pt idx="2">
                  <c:v>8379</c:v>
                </c:pt>
                <c:pt idx="3">
                  <c:v>12647.053125</c:v>
                </c:pt>
                <c:pt idx="4">
                  <c:v>15011.502187500002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97-D14F-91A4-CBBC0DD0C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3237216"/>
        <c:axId val="383238896"/>
      </c:barChart>
      <c:catAx>
        <c:axId val="38323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383238896"/>
        <c:crosses val="autoZero"/>
        <c:auto val="1"/>
        <c:lblAlgn val="ctr"/>
        <c:lblOffset val="100"/>
        <c:noMultiLvlLbl val="0"/>
      </c:catAx>
      <c:valAx>
        <c:axId val="38323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3832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26" fmlaLink="$P$3" fmlaRange="$P$4:$P$6" noThreeD="1" sel="2" val="0"/>
</file>

<file path=xl/ctrlProps/ctrlProp2.xml><?xml version="1.0" encoding="utf-8"?>
<formControlPr xmlns="http://schemas.microsoft.com/office/spreadsheetml/2009/9/main" objectType="List" dx="26" fmlaLink="$R$9" fmlaRange="$R$10:$R$12" noThreeD="1" sel="3" val="0"/>
</file>

<file path=xl/ctrlProps/ctrlProp3.xml><?xml version="1.0" encoding="utf-8"?>
<formControlPr xmlns="http://schemas.microsoft.com/office/spreadsheetml/2009/9/main" objectType="List" dx="26" fmlaLink="$R$3" fmlaRange="$R$4:$R$7" noThreeD="1" sel="3" val="0"/>
</file>

<file path=xl/ctrlProps/ctrlProp4.xml><?xml version="1.0" encoding="utf-8"?>
<formControlPr xmlns="http://schemas.microsoft.com/office/spreadsheetml/2009/9/main" objectType="Drop" dropLines="3" dropStyle="combo" dx="26" fmlaLink="Cockpit!$P$3" fmlaRange="Cockpit!$P$4:$P$6" noThreeD="1" sel="2" val="0"/>
</file>

<file path=xl/ctrlProps/ctrlProp5.xml><?xml version="1.0" encoding="utf-8"?>
<formControlPr xmlns="http://schemas.microsoft.com/office/spreadsheetml/2009/9/main" objectType="Drop" dropLines="3" dropStyle="combo" dx="26" fmlaLink="Cockpit!$R$3" fmlaRange="Cockpit!$R$4:$R$7" noThreeD="1" sel="3"/>
</file>

<file path=xl/ctrlProps/ctrlProp6.xml><?xml version="1.0" encoding="utf-8"?>
<formControlPr xmlns="http://schemas.microsoft.com/office/spreadsheetml/2009/9/main" objectType="Drop" dropLines="3" dropStyle="combo" dx="26" fmlaLink="Cockpit!$R$9" fmlaRange="Cockpit!$R$10:$R$12" noThreeD="1" sel="3" val="0"/>
</file>

<file path=xl/ctrlProps/ctrlProp7.xml><?xml version="1.0" encoding="utf-8"?>
<formControlPr xmlns="http://schemas.microsoft.com/office/spreadsheetml/2009/9/main" objectType="Drop" dropLines="3" dropStyle="combo" dx="26" fmlaLink="Cockpit!$R$3" fmlaRange="Cockpit!$R$4:$R$7" noThreeD="1" sel="3" val="0"/>
</file>

<file path=xl/ctrlProps/ctrlProp8.xml><?xml version="1.0" encoding="utf-8"?>
<formControlPr xmlns="http://schemas.microsoft.com/office/spreadsheetml/2009/9/main" objectType="Drop" dropLines="3" dropStyle="combo" dx="26" fmlaLink="Cockpit!$P$3" fmlaRange="Cockpit!$P$4:$P$6" noThreeD="1" sel="2" val="0"/>
</file>

<file path=xl/ctrlProps/ctrlProp9.xml><?xml version="1.0" encoding="utf-8"?>
<formControlPr xmlns="http://schemas.microsoft.com/office/spreadsheetml/2009/9/main" objectType="Drop" dropLines="3" dropStyle="combo" dx="26" fmlaLink="Cockpit!$P$3" fmlaRange="Cockpit!$P$4:$P$6" noThreeD="1" sel="2" val="0"/>
</file>

<file path=xl/ctrlProps/ctrlProp10.xml><?xml version="1.0" encoding="utf-8"?>
<formControlPr xmlns="http://schemas.microsoft.com/office/spreadsheetml/2009/9/main" objectType="Drop" dropLines="3" dropStyle="combo" dx="26" fmlaLink="Cockpit!$R$3" fmlaRange="Cockpit!$R$4:$R$7" noThreeD="1" sel="3" val="0"/>
</file>

<file path=xl/ctrlProps/ctrlProp11.xml><?xml version="1.0" encoding="utf-8"?>
<formControlPr xmlns="http://schemas.microsoft.com/office/spreadsheetml/2009/9/main" objectType="Drop" dropLines="3" dropStyle="combo" dx="26" fmlaLink="Cockpit!$R$9" fmlaRange="Cockpit!$R$10:$R$12" noThreeD="1" sel="3" val="0"/>
</file>

<file path=xl/ctrlProps/ctrlProp12.xml><?xml version="1.0" encoding="utf-8"?>
<formControlPr xmlns="http://schemas.microsoft.com/office/spreadsheetml/2009/9/main" objectType="Drop" dropLines="3" dropStyle="combo" dx="26" fmlaLink="Cockpit!$P$3" fmlaRange="Cockpit!$P$4:$P$6" noThreeD="1" sel="2" val="0"/>
</file>

<file path=xl/ctrlProps/ctrlProp13.xml><?xml version="1.0" encoding="utf-8"?>
<formControlPr xmlns="http://schemas.microsoft.com/office/spreadsheetml/2009/9/main" objectType="Drop" dropLines="3" dropStyle="combo" dx="26" fmlaLink="Cockpit!$R$3" fmlaRange="Cockpit!$R$4:$R$7" noThreeD="1" sel="3" val="0"/>
</file>

<file path=xl/ctrlProps/ctrlProp14.xml><?xml version="1.0" encoding="utf-8"?>
<formControlPr xmlns="http://schemas.microsoft.com/office/spreadsheetml/2009/9/main" objectType="Drop" dropLines="3" dropStyle="combo" dx="26" fmlaLink="Cockpit!$R$9" fmlaRange="Cockpit!$R$10:$R$12" noThreeD="1" sel="3" val="0"/>
</file>

<file path=xl/ctrlProps/ctrlProp15.xml><?xml version="1.0" encoding="utf-8"?>
<formControlPr xmlns="http://schemas.microsoft.com/office/spreadsheetml/2009/9/main" objectType="Drop" dropLines="3" dropStyle="combo" dx="26" fmlaLink="Cockpit!$P$3" fmlaRange="Cockpit!$P$4:$P$6" noThreeD="1" sel="2" val="0"/>
</file>

<file path=xl/ctrlProps/ctrlProp16.xml><?xml version="1.0" encoding="utf-8"?>
<formControlPr xmlns="http://schemas.microsoft.com/office/spreadsheetml/2009/9/main" objectType="Drop" dropLines="3" dropStyle="combo" dx="26" fmlaLink="Cockpit!$R$3" fmlaRange="Cockpit!$R$4:$R$7" noThreeD="1" sel="3" val="0"/>
</file>

<file path=xl/ctrlProps/ctrlProp17.xml><?xml version="1.0" encoding="utf-8"?>
<formControlPr xmlns="http://schemas.microsoft.com/office/spreadsheetml/2009/9/main" objectType="Drop" dropLines="3" dropStyle="combo" dx="26" fmlaLink="Cockpit!$R$9" fmlaRange="Cockpit!$R$10:$R$12" noThreeD="1" sel="3" val="0"/>
</file>

<file path=xl/ctrlProps/ctrlProp18.xml><?xml version="1.0" encoding="utf-8"?>
<formControlPr xmlns="http://schemas.microsoft.com/office/spreadsheetml/2009/9/main" objectType="Drop" dropLines="3" dropStyle="combo" dx="26" fmlaLink="Cockpit!$R$9" fmlaRange="Cockpit!$R$10:$R$12" noThreeD="1" sel="3" val="0"/>
</file>

<file path=xl/ctrlProps/ctrlProp19.xml><?xml version="1.0" encoding="utf-8"?>
<formControlPr xmlns="http://schemas.microsoft.com/office/spreadsheetml/2009/9/main" objectType="Drop" dropLines="4" dropStyle="combo" dx="26" fmlaLink="Cockpit!$R$3" fmlaRange="Cockpit!$R$4:$R$6" noThreeD="1" sel="3" val="0"/>
</file>

<file path=xl/ctrlProps/ctrlProp20.xml><?xml version="1.0" encoding="utf-8"?>
<formControlPr xmlns="http://schemas.microsoft.com/office/spreadsheetml/2009/9/main" objectType="Drop" dropLines="3" dropStyle="combo" dx="26" fmlaLink="Cockpit!$P$3" fmlaRange="Cockpit!$P$4:$P$6" noThreeD="1" sel="2" val="0"/>
</file>

<file path=xl/ctrlProps/ctrlProp21.xml><?xml version="1.0" encoding="utf-8"?>
<formControlPr xmlns="http://schemas.microsoft.com/office/spreadsheetml/2009/9/main" objectType="Drop" dropLines="3" dropStyle="combo" dx="26" fmlaLink="Cockpit!$R$9" fmlaRange="Cockpit!$R$10:$R$12" noThreeD="1" sel="3" val="0"/>
</file>

<file path=xl/ctrlProps/ctrlProp22.xml><?xml version="1.0" encoding="utf-8"?>
<formControlPr xmlns="http://schemas.microsoft.com/office/spreadsheetml/2009/9/main" objectType="Drop" dropLines="4" dropStyle="combo" dx="26" fmlaLink="Cockpit!$R$3" fmlaRange="Cockpit!#REF!" noThreeD="1" sel="0" val="0"/>
</file>

<file path=xl/ctrlProps/ctrlProp23.xml><?xml version="1.0" encoding="utf-8"?>
<formControlPr xmlns="http://schemas.microsoft.com/office/spreadsheetml/2009/9/main" objectType="Drop" dropLines="3" dropStyle="combo" dx="26" fmlaLink="Cockpit!$P$3" fmlaRange="Cockpit!$P$4:$P$6" noThreeD="1" sel="2" val="0"/>
</file>

<file path=xl/ctrlProps/ctrlProp24.xml><?xml version="1.0" encoding="utf-8"?>
<formControlPr xmlns="http://schemas.microsoft.com/office/spreadsheetml/2009/9/main" objectType="Drop" dropLines="3" dropStyle="combo" dx="26" fmlaLink="Cockpit!$R$9" fmlaRange="Cockpit!$R$10:$R$12" noThreeD="1" sel="3" val="0"/>
</file>

<file path=xl/ctrlProps/ctrlProp25.xml><?xml version="1.0" encoding="utf-8"?>
<formControlPr xmlns="http://schemas.microsoft.com/office/spreadsheetml/2009/9/main" objectType="Drop" dropLines="4" dropStyle="combo" dx="26" fmlaLink="Cockpit!$R$3" fmlaRange="Cockpit!#REF!" noThreeD="1" sel="0" val="0"/>
</file>

<file path=xl/ctrlProps/ctrlProp26.xml><?xml version="1.0" encoding="utf-8"?>
<formControlPr xmlns="http://schemas.microsoft.com/office/spreadsheetml/2009/9/main" objectType="Drop" dropLines="3" dropStyle="combo" dx="26" fmlaLink="Cockpit!$P$3" fmlaRange="Cockpit!$P$4:$P$6" noThreeD="1" sel="2" val="0"/>
</file>

<file path=xl/ctrlProps/ctrlProp27.xml><?xml version="1.0" encoding="utf-8"?>
<formControlPr xmlns="http://schemas.microsoft.com/office/spreadsheetml/2009/9/main" objectType="Drop" dropLines="3" dropStyle="combo" dx="26" fmlaLink="Cockpit!$R$9" fmlaRange="Cockpit!$R$10:$R$12" noThreeD="1" sel="3" val="0"/>
</file>

<file path=xl/ctrlProps/ctrlProp28.xml><?xml version="1.0" encoding="utf-8"?>
<formControlPr xmlns="http://schemas.microsoft.com/office/spreadsheetml/2009/9/main" objectType="Drop" dropLines="4" dropStyle="combo" dx="26" fmlaLink="Cockpit!$R$3" fmlaRange="Cockpit!#REF!" noThreeD="1" sel="0" val="0"/>
</file>

<file path=xl/ctrlProps/ctrlProp29.xml><?xml version="1.0" encoding="utf-8"?>
<formControlPr xmlns="http://schemas.microsoft.com/office/spreadsheetml/2009/9/main" objectType="Drop" dropLines="3" dropStyle="combo" dx="26" fmlaLink="Cockpit!$R$9" fmlaRange="Cockpit!$R$10:$R$12" noThreeD="1" sel="3" val="0"/>
</file>

<file path=xl/ctrlProps/ctrlProp30.xml><?xml version="1.0" encoding="utf-8"?>
<formControlPr xmlns="http://schemas.microsoft.com/office/spreadsheetml/2009/9/main" objectType="Drop" dropLines="4" dropStyle="combo" dx="26" fmlaLink="Cockpit!$R$3" fmlaRange="Cockpit!#REF!" noThreeD="1" sel="0" val="0"/>
</file>

<file path=xl/ctrlProps/ctrlProp31.xml><?xml version="1.0" encoding="utf-8"?>
<formControlPr xmlns="http://schemas.microsoft.com/office/spreadsheetml/2009/9/main" objectType="Drop" dropLines="3" dropStyle="combo" dx="26" fmlaLink="Cockpit!$R$9" fmlaRange="Cockpit!$R$10:$R$12" noThreeD="1" sel="3" val="0"/>
</file>

<file path=xl/ctrlProps/ctrlProp32.xml><?xml version="1.0" encoding="utf-8"?>
<formControlPr xmlns="http://schemas.microsoft.com/office/spreadsheetml/2009/9/main" objectType="Drop" dropLines="4" dropStyle="combo" dx="26" fmlaLink="Cockpit!$R$3" fmlaRange="Cockpit!#REF!" noThreeD="1" sel="0" val="0"/>
</file>

<file path=xl/ctrlProps/ctrlProp33.xml><?xml version="1.0" encoding="utf-8"?>
<formControlPr xmlns="http://schemas.microsoft.com/office/spreadsheetml/2009/9/main" objectType="Drop" dropLines="3" dropStyle="combo" dx="26" fmlaLink="Cockpit!$P$23" fmlaRange="Cockpit!$P$24:$P$24" noThreeD="1" sel="0" val="0"/>
</file>

<file path=xl/diagrams/_rels/data1.xml.rels><?xml version="1.0" encoding="UTF-8" standalone="yes"?>
<Relationships xmlns="http://schemas.openxmlformats.org/package/2006/relationships"><Relationship Id="rId3" Type="http://schemas.openxmlformats.org/officeDocument/2006/relationships/hyperlink" Target="#'Crew Cost'!A1"/><Relationship Id="rId2" Type="http://schemas.openxmlformats.org/officeDocument/2006/relationships/hyperlink" Target="#'Fuel Cost'!A1"/><Relationship Id="rId1" Type="http://schemas.openxmlformats.org/officeDocument/2006/relationships/hyperlink" Target="#Revenue!A1"/><Relationship Id="rId5" Type="http://schemas.openxmlformats.org/officeDocument/2006/relationships/hyperlink" Target="#'Other costs'!A1"/><Relationship Id="rId4" Type="http://schemas.openxmlformats.org/officeDocument/2006/relationships/hyperlink" Target="#Leasing!A1"/></Relationships>
</file>

<file path=xl/diagrams/_rels/data2.xml.rels><?xml version="1.0" encoding="UTF-8" standalone="yes"?>
<Relationships xmlns="http://schemas.openxmlformats.org/package/2006/relationships"><Relationship Id="rId3" Type="http://schemas.openxmlformats.org/officeDocument/2006/relationships/hyperlink" Target="#WCR!A1"/><Relationship Id="rId2" Type="http://schemas.openxmlformats.org/officeDocument/2006/relationships/hyperlink" Target="#Financing!A1"/><Relationship Id="rId1" Type="http://schemas.openxmlformats.org/officeDocument/2006/relationships/hyperlink" Target="#CAPEX!A1"/></Relationships>
</file>

<file path=xl/diagrams/_rels/data3.xml.rels><?xml version="1.0" encoding="UTF-8" standalone="yes"?>
<Relationships xmlns="http://schemas.openxmlformats.org/package/2006/relationships"><Relationship Id="rId3" Type="http://schemas.openxmlformats.org/officeDocument/2006/relationships/hyperlink" Target="#'WCR &amp; requirements'!A1"/><Relationship Id="rId2" Type="http://schemas.openxmlformats.org/officeDocument/2006/relationships/hyperlink" Target="#Financing!A1"/><Relationship Id="rId1" Type="http://schemas.openxmlformats.org/officeDocument/2006/relationships/hyperlink" Target="#CAPEX!A1"/></Relationships>
</file>

<file path=xl/diagrams/_rels/data4.xml.rels><?xml version="1.0" encoding="UTF-8" standalone="yes"?>
<Relationships xmlns="http://schemas.openxmlformats.org/package/2006/relationships"><Relationship Id="rId3" Type="http://schemas.openxmlformats.org/officeDocument/2006/relationships/hyperlink" Target="#Crew!A1"/><Relationship Id="rId2" Type="http://schemas.openxmlformats.org/officeDocument/2006/relationships/hyperlink" Target="#Fuel!A1"/><Relationship Id="rId1" Type="http://schemas.openxmlformats.org/officeDocument/2006/relationships/hyperlink" Target="#Revenue!A1"/><Relationship Id="rId5" Type="http://schemas.openxmlformats.org/officeDocument/2006/relationships/hyperlink" Target="#'Other costs'!A1"/><Relationship Id="rId4" Type="http://schemas.openxmlformats.org/officeDocument/2006/relationships/hyperlink" Target="#Leasing!A1"/></Relationships>
</file>

<file path=xl/diagrams/_rels/data5.xml.rels><?xml version="1.0" encoding="UTF-8" standalone="yes"?>
<Relationships xmlns="http://schemas.openxmlformats.org/package/2006/relationships"><Relationship Id="rId3" Type="http://schemas.openxmlformats.org/officeDocument/2006/relationships/hyperlink" Target="#'Balance Sheet'!A1"/><Relationship Id="rId2" Type="http://schemas.openxmlformats.org/officeDocument/2006/relationships/hyperlink" Target="#'Cash Flows'!A1"/><Relationship Id="rId1" Type="http://schemas.openxmlformats.org/officeDocument/2006/relationships/hyperlink" Target="#'P&amp;L'!A1"/><Relationship Id="rId4" Type="http://schemas.openxmlformats.org/officeDocument/2006/relationships/hyperlink" Target="#'Break Even'!A1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1">
  <dgm:title val=""/>
  <dgm:desc val=""/>
  <dgm:catLst>
    <dgm:cat type="colorful" pri="101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/>
    <dgm:txEffectClrLst/>
  </dgm:styleLbl>
  <dgm:styleLbl name="ln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2">
        <a:alpha val="50000"/>
      </a:schemeClr>
      <a:schemeClr val="accent3">
        <a:alpha val="50000"/>
      </a:schemeClr>
      <a:schemeClr val="accent4">
        <a:alpha val="50000"/>
      </a:schemeClr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2">
        <a:tint val="50000"/>
      </a:schemeClr>
      <a:schemeClr val="accent3">
        <a:tint val="50000"/>
      </a:schemeClr>
      <a:schemeClr val="accent4">
        <a:tint val="50000"/>
      </a:schemeClr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1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1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/>
    <dgm:txEffectClrLst/>
  </dgm:styleLbl>
  <dgm:styleLbl name="fg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>
        <a:tint val="9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5">
        <a:tint val="5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4">
  <dgm:title val=""/>
  <dgm:desc val=""/>
  <dgm:catLst>
    <dgm:cat type="colorful" pri="104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4"/>
      <a:schemeClr val="accent5"/>
    </dgm:fillClrLst>
    <dgm:linClrLst>
      <a:schemeClr val="accent4"/>
      <a:schemeClr val="accent5"/>
    </dgm:linClrLst>
    <dgm:effectClrLst/>
    <dgm:txLinClrLst/>
    <dgm:txFillClrLst/>
    <dgm:txEffectClrLst/>
  </dgm:styleLbl>
  <dgm:styleLbl name="ln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4">
        <a:alpha val="50000"/>
      </a:schemeClr>
      <a:schemeClr val="accent5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4">
        <a:tint val="50000"/>
      </a:schemeClr>
      <a:schemeClr val="accent5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4"/>
      <a:schemeClr val="accent5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4"/>
    </dgm:fillClrLst>
    <dgm:linClrLst meth="repeat">
      <a:schemeClr val="accent4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4"/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4">
        <a:tint val="9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4">
        <a:tint val="5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4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4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4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4">
        <a:tint val="50000"/>
        <a:alpha val="40000"/>
      </a:schemeClr>
    </dgm:fillClrLst>
    <dgm:linClrLst meth="repeat">
      <a:schemeClr val="accent4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4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colorful3">
  <dgm:title val=""/>
  <dgm:desc val=""/>
  <dgm:catLst>
    <dgm:cat type="colorful" pri="10300"/>
  </dgm:catLst>
  <dgm:styleLbl name="node0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/>
      <a:schemeClr val="accent4"/>
    </dgm:fillClrLst>
    <dgm:linClrLst>
      <a:schemeClr val="accent3"/>
      <a:schemeClr val="accent4"/>
    </dgm:linClrLst>
    <dgm:effectClrLst/>
    <dgm:txLinClrLst/>
    <dgm:txFillClrLst/>
    <dgm:txEffectClrLst/>
  </dgm:styleLbl>
  <dgm:styleLbl name="ln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alpha val="50000"/>
      </a:schemeClr>
      <a:schemeClr val="accent4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4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3"/>
      <a:schemeClr val="accent4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colorful1">
  <dgm:title val=""/>
  <dgm:desc val=""/>
  <dgm:catLst>
    <dgm:cat type="colorful" pri="101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/>
    <dgm:txEffectClrLst/>
  </dgm:styleLbl>
  <dgm:styleLbl name="ln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2">
        <a:alpha val="50000"/>
      </a:schemeClr>
      <a:schemeClr val="accent3">
        <a:alpha val="50000"/>
      </a:schemeClr>
      <a:schemeClr val="accent4">
        <a:alpha val="50000"/>
      </a:schemeClr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2">
        <a:tint val="50000"/>
      </a:schemeClr>
      <a:schemeClr val="accent3">
        <a:tint val="50000"/>
      </a:schemeClr>
      <a:schemeClr val="accent4">
        <a:tint val="50000"/>
      </a:schemeClr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1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1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/>
    <dgm:txEffectClrLst/>
  </dgm:styleLbl>
  <dgm:styleLbl name="fg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>
        <a:tint val="9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5">
        <a:tint val="5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colorful3">
  <dgm:title val=""/>
  <dgm:desc val=""/>
  <dgm:catLst>
    <dgm:cat type="colorful" pri="10300"/>
  </dgm:catLst>
  <dgm:styleLbl name="node0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/>
      <a:schemeClr val="accent4"/>
    </dgm:fillClrLst>
    <dgm:linClrLst>
      <a:schemeClr val="accent3"/>
      <a:schemeClr val="accent4"/>
    </dgm:linClrLst>
    <dgm:effectClrLst/>
    <dgm:txLinClrLst/>
    <dgm:txFillClrLst/>
    <dgm:txEffectClrLst/>
  </dgm:styleLbl>
  <dgm:styleLbl name="ln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alpha val="50000"/>
      </a:schemeClr>
      <a:schemeClr val="accent4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4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3"/>
      <a:schemeClr val="accent4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50748D97-1FE7-40BE-8970-2CDE6D751FDC}" type="doc">
      <dgm:prSet loTypeId="urn:microsoft.com/office/officeart/2005/8/layout/radial6" loCatId="cycle" qsTypeId="urn:microsoft.com/office/officeart/2005/8/quickstyle/simple1" qsCatId="simple" csTypeId="urn:microsoft.com/office/officeart/2005/8/colors/colorful1" csCatId="colorful" phldr="1"/>
      <dgm:spPr/>
      <dgm:t>
        <a:bodyPr/>
        <a:lstStyle/>
        <a:p>
          <a:endParaRPr lang="en-GB"/>
        </a:p>
      </dgm:t>
    </dgm:pt>
    <dgm:pt modelId="{40376989-E9DE-4A9D-93FA-E3BB3DA9268C}">
      <dgm:prSet phldrT="[Text]"/>
      <dgm:spPr/>
      <dgm:t>
        <a:bodyPr/>
        <a:lstStyle/>
        <a:p>
          <a:r>
            <a:rPr lang="en-GB" b="1"/>
            <a:t>Revenue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35ABECA8-1720-4A46-BE97-EBF163087507}" type="parTrans" cxnId="{99709F41-2963-4BFB-82A7-8EAF07658086}">
      <dgm:prSet/>
      <dgm:spPr/>
      <dgm:t>
        <a:bodyPr/>
        <a:lstStyle/>
        <a:p>
          <a:endParaRPr lang="en-GB" b="1"/>
        </a:p>
      </dgm:t>
    </dgm:pt>
    <dgm:pt modelId="{5A99E807-47FB-4819-A7DB-53466F9F4BBF}" type="sibTrans" cxnId="{99709F41-2963-4BFB-82A7-8EAF07658086}">
      <dgm:prSet/>
      <dgm:spPr/>
      <dgm:t>
        <a:bodyPr/>
        <a:lstStyle/>
        <a:p>
          <a:endParaRPr lang="en-GB" b="1"/>
        </a:p>
      </dgm:t>
    </dgm:pt>
    <dgm:pt modelId="{79DEF93F-534F-4333-81B8-C96C5178EF44}">
      <dgm:prSet phldrT="[Text]"/>
      <dgm:spPr/>
      <dgm:t>
        <a:bodyPr/>
        <a:lstStyle/>
        <a:p>
          <a:r>
            <a:rPr lang="en-GB" b="1"/>
            <a:t>Fuel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8F016105-5E43-49EF-9AC7-283B501742B0}" type="parTrans" cxnId="{D6581D94-1379-4F17-8030-671A436EFFF3}">
      <dgm:prSet/>
      <dgm:spPr/>
      <dgm:t>
        <a:bodyPr/>
        <a:lstStyle/>
        <a:p>
          <a:endParaRPr lang="en-GB" b="1"/>
        </a:p>
      </dgm:t>
    </dgm:pt>
    <dgm:pt modelId="{2439AF80-CCB5-4A12-9A67-9C1692EC2381}" type="sibTrans" cxnId="{D6581D94-1379-4F17-8030-671A436EFFF3}">
      <dgm:prSet/>
      <dgm:spPr/>
      <dgm:t>
        <a:bodyPr/>
        <a:lstStyle/>
        <a:p>
          <a:endParaRPr lang="en-GB" b="1"/>
        </a:p>
      </dgm:t>
    </dgm:pt>
    <dgm:pt modelId="{2089A730-2782-4660-B6FB-99E47478425B}">
      <dgm:prSet phldrT="[Text]"/>
      <dgm:spPr/>
      <dgm:t>
        <a:bodyPr/>
        <a:lstStyle/>
        <a:p>
          <a:r>
            <a:rPr lang="en-GB" b="1"/>
            <a:t>Crew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A010A4A6-366A-486B-AA2D-C792F77FBE02}" type="parTrans" cxnId="{97A181A3-F68D-4582-8FF6-CB460660653E}">
      <dgm:prSet/>
      <dgm:spPr/>
      <dgm:t>
        <a:bodyPr/>
        <a:lstStyle/>
        <a:p>
          <a:endParaRPr lang="en-GB" b="1"/>
        </a:p>
      </dgm:t>
    </dgm:pt>
    <dgm:pt modelId="{F634C158-680D-4688-B656-BD23E446B872}" type="sibTrans" cxnId="{97A181A3-F68D-4582-8FF6-CB460660653E}">
      <dgm:prSet/>
      <dgm:spPr/>
      <dgm:t>
        <a:bodyPr/>
        <a:lstStyle/>
        <a:p>
          <a:endParaRPr lang="en-GB" b="1"/>
        </a:p>
      </dgm:t>
    </dgm:pt>
    <dgm:pt modelId="{A75E6620-97DA-455A-B9B9-B912985FC544}">
      <dgm:prSet phldrT="[Text]"/>
      <dgm:spPr/>
      <dgm:t>
        <a:bodyPr/>
        <a:lstStyle/>
        <a:p>
          <a:r>
            <a:rPr lang="en-GB" b="1"/>
            <a:t>Leasing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506D8970-1C20-4D10-9038-C6340F82DD8C}" type="parTrans" cxnId="{66147BF8-AED2-4224-95FB-C57090186D6E}">
      <dgm:prSet/>
      <dgm:spPr/>
      <dgm:t>
        <a:bodyPr/>
        <a:lstStyle/>
        <a:p>
          <a:endParaRPr lang="en-GB" b="1"/>
        </a:p>
      </dgm:t>
    </dgm:pt>
    <dgm:pt modelId="{1B610401-85E8-4993-8C9F-675B486654D4}" type="sibTrans" cxnId="{66147BF8-AED2-4224-95FB-C57090186D6E}">
      <dgm:prSet/>
      <dgm:spPr/>
      <dgm:t>
        <a:bodyPr/>
        <a:lstStyle/>
        <a:p>
          <a:endParaRPr lang="en-GB" b="1"/>
        </a:p>
      </dgm:t>
    </dgm:pt>
    <dgm:pt modelId="{DD2EEA83-44B8-4D2B-A6EC-A8B2022EB6F5}">
      <dgm:prSet phldrT="[Text]"/>
      <dgm:spPr/>
      <dgm:t>
        <a:bodyPr/>
        <a:lstStyle/>
        <a:p>
          <a:r>
            <a:rPr lang="en-GB" b="1"/>
            <a:t>Other costs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5C11A5D6-CF70-4C15-B895-7B20E1C713EF}" type="parTrans" cxnId="{59E25341-F9A0-4BFB-8D6C-A5F021652071}">
      <dgm:prSet/>
      <dgm:spPr/>
      <dgm:t>
        <a:bodyPr/>
        <a:lstStyle/>
        <a:p>
          <a:endParaRPr lang="en-GB" b="1"/>
        </a:p>
      </dgm:t>
    </dgm:pt>
    <dgm:pt modelId="{41C0A239-C778-4C86-9BBC-69F9123D2E15}" type="sibTrans" cxnId="{59E25341-F9A0-4BFB-8D6C-A5F021652071}">
      <dgm:prSet/>
      <dgm:spPr/>
      <dgm:t>
        <a:bodyPr/>
        <a:lstStyle/>
        <a:p>
          <a:endParaRPr lang="en-GB" b="1"/>
        </a:p>
      </dgm:t>
    </dgm:pt>
    <dgm:pt modelId="{28E11134-6A75-4DCF-90A0-DF87FA828652}" type="pres">
      <dgm:prSet presAssocID="{50748D97-1FE7-40BE-8970-2CDE6D751FDC}" presName="Name0" presStyleCnt="0">
        <dgm:presLayoutVars>
          <dgm:chMax val="1"/>
          <dgm:dir/>
          <dgm:animLvl val="ctr"/>
          <dgm:resizeHandles val="exact"/>
        </dgm:presLayoutVars>
      </dgm:prSet>
      <dgm:spPr/>
    </dgm:pt>
    <dgm:pt modelId="{9B3FFA4F-0570-4E4B-8D96-945106174B92}" type="pres">
      <dgm:prSet presAssocID="{40376989-E9DE-4A9D-93FA-E3BB3DA9268C}" presName="centerShape" presStyleLbl="node0" presStyleIdx="0" presStyleCnt="1"/>
      <dgm:spPr/>
    </dgm:pt>
    <dgm:pt modelId="{4166E199-4C42-4698-8E25-A313BC4DAA8A}" type="pres">
      <dgm:prSet presAssocID="{79DEF93F-534F-4333-81B8-C96C5178EF44}" presName="node" presStyleLbl="node1" presStyleIdx="0" presStyleCnt="4">
        <dgm:presLayoutVars>
          <dgm:bulletEnabled val="1"/>
        </dgm:presLayoutVars>
      </dgm:prSet>
      <dgm:spPr/>
    </dgm:pt>
    <dgm:pt modelId="{A7C70028-C027-4927-AE1A-41F50894BBFD}" type="pres">
      <dgm:prSet presAssocID="{79DEF93F-534F-4333-81B8-C96C5178EF44}" presName="dummy" presStyleCnt="0"/>
      <dgm:spPr/>
    </dgm:pt>
    <dgm:pt modelId="{5F9B2BB3-2B13-4E75-BDD7-D0F42A412432}" type="pres">
      <dgm:prSet presAssocID="{2439AF80-CCB5-4A12-9A67-9C1692EC2381}" presName="sibTrans" presStyleLbl="sibTrans2D1" presStyleIdx="0" presStyleCnt="4"/>
      <dgm:spPr/>
    </dgm:pt>
    <dgm:pt modelId="{D6E21FBF-44DF-4F1A-B336-3969DE4063D3}" type="pres">
      <dgm:prSet presAssocID="{2089A730-2782-4660-B6FB-99E47478425B}" presName="node" presStyleLbl="node1" presStyleIdx="1" presStyleCnt="4">
        <dgm:presLayoutVars>
          <dgm:bulletEnabled val="1"/>
        </dgm:presLayoutVars>
      </dgm:prSet>
      <dgm:spPr/>
    </dgm:pt>
    <dgm:pt modelId="{2DABAB08-EBBF-4CC0-95C6-0E573E45230F}" type="pres">
      <dgm:prSet presAssocID="{2089A730-2782-4660-B6FB-99E47478425B}" presName="dummy" presStyleCnt="0"/>
      <dgm:spPr/>
    </dgm:pt>
    <dgm:pt modelId="{9BE3ABAB-0368-43FB-91D6-FDA2988870C9}" type="pres">
      <dgm:prSet presAssocID="{F634C158-680D-4688-B656-BD23E446B872}" presName="sibTrans" presStyleLbl="sibTrans2D1" presStyleIdx="1" presStyleCnt="4"/>
      <dgm:spPr/>
    </dgm:pt>
    <dgm:pt modelId="{BBAE3CC3-6D68-436C-8C62-BA04503504E2}" type="pres">
      <dgm:prSet presAssocID="{A75E6620-97DA-455A-B9B9-B912985FC544}" presName="node" presStyleLbl="node1" presStyleIdx="2" presStyleCnt="4">
        <dgm:presLayoutVars>
          <dgm:bulletEnabled val="1"/>
        </dgm:presLayoutVars>
      </dgm:prSet>
      <dgm:spPr/>
    </dgm:pt>
    <dgm:pt modelId="{4CD6D51E-F237-4AF3-AA04-3A7519CD334D}" type="pres">
      <dgm:prSet presAssocID="{A75E6620-97DA-455A-B9B9-B912985FC544}" presName="dummy" presStyleCnt="0"/>
      <dgm:spPr/>
    </dgm:pt>
    <dgm:pt modelId="{C20E3B75-C96C-4F8C-9CF9-598D09618CA8}" type="pres">
      <dgm:prSet presAssocID="{1B610401-85E8-4993-8C9F-675B486654D4}" presName="sibTrans" presStyleLbl="sibTrans2D1" presStyleIdx="2" presStyleCnt="4"/>
      <dgm:spPr/>
    </dgm:pt>
    <dgm:pt modelId="{9130A8CF-4E40-456A-99BF-E4BE70606AB9}" type="pres">
      <dgm:prSet presAssocID="{DD2EEA83-44B8-4D2B-A6EC-A8B2022EB6F5}" presName="node" presStyleLbl="node1" presStyleIdx="3" presStyleCnt="4">
        <dgm:presLayoutVars>
          <dgm:bulletEnabled val="1"/>
        </dgm:presLayoutVars>
      </dgm:prSet>
      <dgm:spPr/>
    </dgm:pt>
    <dgm:pt modelId="{557633FD-E68C-489B-854B-1AC375DB5CD7}" type="pres">
      <dgm:prSet presAssocID="{DD2EEA83-44B8-4D2B-A6EC-A8B2022EB6F5}" presName="dummy" presStyleCnt="0"/>
      <dgm:spPr/>
    </dgm:pt>
    <dgm:pt modelId="{5BB1FD45-25D9-4C78-86AE-3B8A20BF30E6}" type="pres">
      <dgm:prSet presAssocID="{41C0A239-C778-4C86-9BBC-69F9123D2E15}" presName="sibTrans" presStyleLbl="sibTrans2D1" presStyleIdx="3" presStyleCnt="4"/>
      <dgm:spPr/>
    </dgm:pt>
  </dgm:ptLst>
  <dgm:cxnLst>
    <dgm:cxn modelId="{59E25341-F9A0-4BFB-8D6C-A5F021652071}" srcId="{40376989-E9DE-4A9D-93FA-E3BB3DA9268C}" destId="{DD2EEA83-44B8-4D2B-A6EC-A8B2022EB6F5}" srcOrd="3" destOrd="0" parTransId="{5C11A5D6-CF70-4C15-B895-7B20E1C713EF}" sibTransId="{41C0A239-C778-4C86-9BBC-69F9123D2E15}"/>
    <dgm:cxn modelId="{99709F41-2963-4BFB-82A7-8EAF07658086}" srcId="{50748D97-1FE7-40BE-8970-2CDE6D751FDC}" destId="{40376989-E9DE-4A9D-93FA-E3BB3DA9268C}" srcOrd="0" destOrd="0" parTransId="{35ABECA8-1720-4A46-BE97-EBF163087507}" sibTransId="{5A99E807-47FB-4819-A7DB-53466F9F4BBF}"/>
    <dgm:cxn modelId="{30389E45-B3A6-4871-9540-720833C3FCF1}" type="presOf" srcId="{40376989-E9DE-4A9D-93FA-E3BB3DA9268C}" destId="{9B3FFA4F-0570-4E4B-8D96-945106174B92}" srcOrd="0" destOrd="0" presId="urn:microsoft.com/office/officeart/2005/8/layout/radial6"/>
    <dgm:cxn modelId="{064C1346-9980-481A-92F2-D1B98565140C}" type="presOf" srcId="{2089A730-2782-4660-B6FB-99E47478425B}" destId="{D6E21FBF-44DF-4F1A-B336-3969DE4063D3}" srcOrd="0" destOrd="0" presId="urn:microsoft.com/office/officeart/2005/8/layout/radial6"/>
    <dgm:cxn modelId="{FE8D054A-535E-49DE-A5F2-1270C6C09A8B}" type="presOf" srcId="{1B610401-85E8-4993-8C9F-675B486654D4}" destId="{C20E3B75-C96C-4F8C-9CF9-598D09618CA8}" srcOrd="0" destOrd="0" presId="urn:microsoft.com/office/officeart/2005/8/layout/radial6"/>
    <dgm:cxn modelId="{85916E4A-C295-4F4E-A29F-BAF7F6946139}" type="presOf" srcId="{A75E6620-97DA-455A-B9B9-B912985FC544}" destId="{BBAE3CC3-6D68-436C-8C62-BA04503504E2}" srcOrd="0" destOrd="0" presId="urn:microsoft.com/office/officeart/2005/8/layout/radial6"/>
    <dgm:cxn modelId="{E5519050-4030-4C1F-9316-976E9EE6DD0F}" type="presOf" srcId="{50748D97-1FE7-40BE-8970-2CDE6D751FDC}" destId="{28E11134-6A75-4DCF-90A0-DF87FA828652}" srcOrd="0" destOrd="0" presId="urn:microsoft.com/office/officeart/2005/8/layout/radial6"/>
    <dgm:cxn modelId="{43CA6C80-F2F8-4B29-BC96-8F1207792240}" type="presOf" srcId="{79DEF93F-534F-4333-81B8-C96C5178EF44}" destId="{4166E199-4C42-4698-8E25-A313BC4DAA8A}" srcOrd="0" destOrd="0" presId="urn:microsoft.com/office/officeart/2005/8/layout/radial6"/>
    <dgm:cxn modelId="{D6581D94-1379-4F17-8030-671A436EFFF3}" srcId="{40376989-E9DE-4A9D-93FA-E3BB3DA9268C}" destId="{79DEF93F-534F-4333-81B8-C96C5178EF44}" srcOrd="0" destOrd="0" parTransId="{8F016105-5E43-49EF-9AC7-283B501742B0}" sibTransId="{2439AF80-CCB5-4A12-9A67-9C1692EC2381}"/>
    <dgm:cxn modelId="{97A181A3-F68D-4582-8FF6-CB460660653E}" srcId="{40376989-E9DE-4A9D-93FA-E3BB3DA9268C}" destId="{2089A730-2782-4660-B6FB-99E47478425B}" srcOrd="1" destOrd="0" parTransId="{A010A4A6-366A-486B-AA2D-C792F77FBE02}" sibTransId="{F634C158-680D-4688-B656-BD23E446B872}"/>
    <dgm:cxn modelId="{4637B7B6-B141-4FE2-B705-F18CC75791AE}" type="presOf" srcId="{2439AF80-CCB5-4A12-9A67-9C1692EC2381}" destId="{5F9B2BB3-2B13-4E75-BDD7-D0F42A412432}" srcOrd="0" destOrd="0" presId="urn:microsoft.com/office/officeart/2005/8/layout/radial6"/>
    <dgm:cxn modelId="{F404F4BE-47D4-439A-8880-1405E62DB12D}" type="presOf" srcId="{41C0A239-C778-4C86-9BBC-69F9123D2E15}" destId="{5BB1FD45-25D9-4C78-86AE-3B8A20BF30E6}" srcOrd="0" destOrd="0" presId="urn:microsoft.com/office/officeart/2005/8/layout/radial6"/>
    <dgm:cxn modelId="{0CA693E0-3536-4FDD-BBE5-A91911CF32A0}" type="presOf" srcId="{DD2EEA83-44B8-4D2B-A6EC-A8B2022EB6F5}" destId="{9130A8CF-4E40-456A-99BF-E4BE70606AB9}" srcOrd="0" destOrd="0" presId="urn:microsoft.com/office/officeart/2005/8/layout/radial6"/>
    <dgm:cxn modelId="{8BF7ABEF-85E8-4563-B6B9-230E192B7F9B}" type="presOf" srcId="{F634C158-680D-4688-B656-BD23E446B872}" destId="{9BE3ABAB-0368-43FB-91D6-FDA2988870C9}" srcOrd="0" destOrd="0" presId="urn:microsoft.com/office/officeart/2005/8/layout/radial6"/>
    <dgm:cxn modelId="{66147BF8-AED2-4224-95FB-C57090186D6E}" srcId="{40376989-E9DE-4A9D-93FA-E3BB3DA9268C}" destId="{A75E6620-97DA-455A-B9B9-B912985FC544}" srcOrd="2" destOrd="0" parTransId="{506D8970-1C20-4D10-9038-C6340F82DD8C}" sibTransId="{1B610401-85E8-4993-8C9F-675B486654D4}"/>
    <dgm:cxn modelId="{2008E25B-5C71-4A91-866B-1F336B927C29}" type="presParOf" srcId="{28E11134-6A75-4DCF-90A0-DF87FA828652}" destId="{9B3FFA4F-0570-4E4B-8D96-945106174B92}" srcOrd="0" destOrd="0" presId="urn:microsoft.com/office/officeart/2005/8/layout/radial6"/>
    <dgm:cxn modelId="{866814D4-6D2D-4710-A421-FEC8C3C1AF84}" type="presParOf" srcId="{28E11134-6A75-4DCF-90A0-DF87FA828652}" destId="{4166E199-4C42-4698-8E25-A313BC4DAA8A}" srcOrd="1" destOrd="0" presId="urn:microsoft.com/office/officeart/2005/8/layout/radial6"/>
    <dgm:cxn modelId="{E7C36C06-328E-476F-8F0F-B46582A0D9AB}" type="presParOf" srcId="{28E11134-6A75-4DCF-90A0-DF87FA828652}" destId="{A7C70028-C027-4927-AE1A-41F50894BBFD}" srcOrd="2" destOrd="0" presId="urn:microsoft.com/office/officeart/2005/8/layout/radial6"/>
    <dgm:cxn modelId="{9E1AD77C-2B5E-4764-8E4B-800DBAE3AE59}" type="presParOf" srcId="{28E11134-6A75-4DCF-90A0-DF87FA828652}" destId="{5F9B2BB3-2B13-4E75-BDD7-D0F42A412432}" srcOrd="3" destOrd="0" presId="urn:microsoft.com/office/officeart/2005/8/layout/radial6"/>
    <dgm:cxn modelId="{BF197C3C-2B2F-4326-B831-16F110AF749D}" type="presParOf" srcId="{28E11134-6A75-4DCF-90A0-DF87FA828652}" destId="{D6E21FBF-44DF-4F1A-B336-3969DE4063D3}" srcOrd="4" destOrd="0" presId="urn:microsoft.com/office/officeart/2005/8/layout/radial6"/>
    <dgm:cxn modelId="{60FDCDC8-B855-4CC6-BCB4-A612718D27B4}" type="presParOf" srcId="{28E11134-6A75-4DCF-90A0-DF87FA828652}" destId="{2DABAB08-EBBF-4CC0-95C6-0E573E45230F}" srcOrd="5" destOrd="0" presId="urn:microsoft.com/office/officeart/2005/8/layout/radial6"/>
    <dgm:cxn modelId="{32744AA1-A9CB-4278-8B46-6C51646A9CF7}" type="presParOf" srcId="{28E11134-6A75-4DCF-90A0-DF87FA828652}" destId="{9BE3ABAB-0368-43FB-91D6-FDA2988870C9}" srcOrd="6" destOrd="0" presId="urn:microsoft.com/office/officeart/2005/8/layout/radial6"/>
    <dgm:cxn modelId="{56789E97-EADD-4230-9A3A-D9193BA38CE7}" type="presParOf" srcId="{28E11134-6A75-4DCF-90A0-DF87FA828652}" destId="{BBAE3CC3-6D68-436C-8C62-BA04503504E2}" srcOrd="7" destOrd="0" presId="urn:microsoft.com/office/officeart/2005/8/layout/radial6"/>
    <dgm:cxn modelId="{6CC65E9A-3B34-496C-B8F7-0F1C701CE15C}" type="presParOf" srcId="{28E11134-6A75-4DCF-90A0-DF87FA828652}" destId="{4CD6D51E-F237-4AF3-AA04-3A7519CD334D}" srcOrd="8" destOrd="0" presId="urn:microsoft.com/office/officeart/2005/8/layout/radial6"/>
    <dgm:cxn modelId="{BF5C4651-8E77-43FC-BEBB-0F120A78CB7D}" type="presParOf" srcId="{28E11134-6A75-4DCF-90A0-DF87FA828652}" destId="{C20E3B75-C96C-4F8C-9CF9-598D09618CA8}" srcOrd="9" destOrd="0" presId="urn:microsoft.com/office/officeart/2005/8/layout/radial6"/>
    <dgm:cxn modelId="{31519482-CB94-4572-BBC8-6D289DA99008}" type="presParOf" srcId="{28E11134-6A75-4DCF-90A0-DF87FA828652}" destId="{9130A8CF-4E40-456A-99BF-E4BE70606AB9}" srcOrd="10" destOrd="0" presId="urn:microsoft.com/office/officeart/2005/8/layout/radial6"/>
    <dgm:cxn modelId="{813B845D-867D-4FA2-8C5B-3EF643C53697}" type="presParOf" srcId="{28E11134-6A75-4DCF-90A0-DF87FA828652}" destId="{557633FD-E68C-489B-854B-1AC375DB5CD7}" srcOrd="11" destOrd="0" presId="urn:microsoft.com/office/officeart/2005/8/layout/radial6"/>
    <dgm:cxn modelId="{B86524A0-23B4-4383-85B1-9B0CEE5A2F62}" type="presParOf" srcId="{28E11134-6A75-4DCF-90A0-DF87FA828652}" destId="{5BB1FD45-25D9-4C78-86AE-3B8A20BF30E6}" srcOrd="12" destOrd="0" presId="urn:microsoft.com/office/officeart/2005/8/layout/radial6"/>
  </dgm:cxnLst>
  <dgm:bg/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50748D97-1FE7-40BE-8970-2CDE6D751FDC}" type="doc">
      <dgm:prSet loTypeId="urn:microsoft.com/office/officeart/2005/8/layout/radial6" loCatId="cycle" qsTypeId="urn:microsoft.com/office/officeart/2005/8/quickstyle/simple1" qsCatId="simple" csTypeId="urn:microsoft.com/office/officeart/2005/8/colors/colorful4" csCatId="colorful" phldr="1"/>
      <dgm:spPr/>
      <dgm:t>
        <a:bodyPr/>
        <a:lstStyle/>
        <a:p>
          <a:endParaRPr lang="en-GB"/>
        </a:p>
      </dgm:t>
    </dgm:pt>
    <dgm:pt modelId="{40376989-E9DE-4A9D-93FA-E3BB3DA9268C}">
      <dgm:prSet phldrT="[Text]"/>
      <dgm:spPr/>
      <dgm:t>
        <a:bodyPr/>
        <a:lstStyle/>
        <a:p>
          <a:r>
            <a:rPr lang="en-GB" b="1"/>
            <a:t>Investing &amp; Financing</a:t>
          </a:r>
        </a:p>
      </dgm:t>
    </dgm:pt>
    <dgm:pt modelId="{35ABECA8-1720-4A46-BE97-EBF163087507}" type="parTrans" cxnId="{99709F41-2963-4BFB-82A7-8EAF07658086}">
      <dgm:prSet/>
      <dgm:spPr/>
      <dgm:t>
        <a:bodyPr/>
        <a:lstStyle/>
        <a:p>
          <a:endParaRPr lang="en-GB" b="1"/>
        </a:p>
      </dgm:t>
    </dgm:pt>
    <dgm:pt modelId="{5A99E807-47FB-4819-A7DB-53466F9F4BBF}" type="sibTrans" cxnId="{99709F41-2963-4BFB-82A7-8EAF07658086}">
      <dgm:prSet/>
      <dgm:spPr/>
      <dgm:t>
        <a:bodyPr/>
        <a:lstStyle/>
        <a:p>
          <a:endParaRPr lang="en-GB" b="1"/>
        </a:p>
      </dgm:t>
    </dgm:pt>
    <dgm:pt modelId="{79DEF93F-534F-4333-81B8-C96C5178EF44}">
      <dgm:prSet phldrT="[Text]"/>
      <dgm:spPr/>
      <dgm:t>
        <a:bodyPr/>
        <a:lstStyle/>
        <a:p>
          <a:r>
            <a:rPr lang="en-GB" b="1"/>
            <a:t>CAPEX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8F016105-5E43-49EF-9AC7-283B501742B0}" type="parTrans" cxnId="{D6581D94-1379-4F17-8030-671A436EFFF3}">
      <dgm:prSet/>
      <dgm:spPr/>
      <dgm:t>
        <a:bodyPr/>
        <a:lstStyle/>
        <a:p>
          <a:endParaRPr lang="en-GB" b="1"/>
        </a:p>
      </dgm:t>
    </dgm:pt>
    <dgm:pt modelId="{2439AF80-CCB5-4A12-9A67-9C1692EC2381}" type="sibTrans" cxnId="{D6581D94-1379-4F17-8030-671A436EFFF3}">
      <dgm:prSet/>
      <dgm:spPr/>
      <dgm:t>
        <a:bodyPr/>
        <a:lstStyle/>
        <a:p>
          <a:endParaRPr lang="en-GB" b="1"/>
        </a:p>
      </dgm:t>
    </dgm:pt>
    <dgm:pt modelId="{2089A730-2782-4660-B6FB-99E47478425B}">
      <dgm:prSet phldrT="[Text]"/>
      <dgm:spPr/>
      <dgm:t>
        <a:bodyPr/>
        <a:lstStyle/>
        <a:p>
          <a:r>
            <a:rPr lang="en-GB" b="1"/>
            <a:t>Financing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A010A4A6-366A-486B-AA2D-C792F77FBE02}" type="parTrans" cxnId="{97A181A3-F68D-4582-8FF6-CB460660653E}">
      <dgm:prSet/>
      <dgm:spPr/>
      <dgm:t>
        <a:bodyPr/>
        <a:lstStyle/>
        <a:p>
          <a:endParaRPr lang="en-GB" b="1"/>
        </a:p>
      </dgm:t>
    </dgm:pt>
    <dgm:pt modelId="{F634C158-680D-4688-B656-BD23E446B872}" type="sibTrans" cxnId="{97A181A3-F68D-4582-8FF6-CB460660653E}">
      <dgm:prSet/>
      <dgm:spPr/>
      <dgm:t>
        <a:bodyPr/>
        <a:lstStyle/>
        <a:p>
          <a:endParaRPr lang="en-GB" b="1"/>
        </a:p>
      </dgm:t>
    </dgm:pt>
    <dgm:pt modelId="{2E7C08E3-7F66-4F18-A339-8416648BF9E5}">
      <dgm:prSet phldrT="[Text]"/>
      <dgm:spPr/>
      <dgm:t>
        <a:bodyPr/>
        <a:lstStyle/>
        <a:p>
          <a:r>
            <a:rPr lang="en-GB" b="1"/>
            <a:t>Working Capital 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98426508-A2EB-4E17-8EFE-867740FA1532}" type="parTrans" cxnId="{1C53E378-7FB5-40DD-9BBB-B2DFDC24111D}">
      <dgm:prSet/>
      <dgm:spPr/>
      <dgm:t>
        <a:bodyPr/>
        <a:lstStyle/>
        <a:p>
          <a:endParaRPr lang="en-GB"/>
        </a:p>
      </dgm:t>
    </dgm:pt>
    <dgm:pt modelId="{749C6B84-FE21-4C9E-B540-27B1F472497A}" type="sibTrans" cxnId="{1C53E378-7FB5-40DD-9BBB-B2DFDC24111D}">
      <dgm:prSet/>
      <dgm:spPr/>
      <dgm:t>
        <a:bodyPr/>
        <a:lstStyle/>
        <a:p>
          <a:endParaRPr lang="en-GB"/>
        </a:p>
      </dgm:t>
    </dgm:pt>
    <dgm:pt modelId="{E4F6831B-A237-48CE-9F4B-BCDDB665CCB3}">
      <dgm:prSet phldrT="[Text]"/>
      <dgm:spPr/>
      <dgm:t>
        <a:bodyPr/>
        <a:lstStyle/>
        <a:p>
          <a:r>
            <a:rPr lang="en-GB" b="1"/>
            <a:t>Deposits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C78F0FA8-951F-40D6-A1F8-477E8A0E807B}" type="parTrans" cxnId="{E8978F28-E314-4363-888F-8E8991F58212}">
      <dgm:prSet/>
      <dgm:spPr/>
      <dgm:t>
        <a:bodyPr/>
        <a:lstStyle/>
        <a:p>
          <a:endParaRPr lang="en-GB"/>
        </a:p>
      </dgm:t>
    </dgm:pt>
    <dgm:pt modelId="{3412062D-4BFF-4FAF-8186-C1E45111BCCD}" type="sibTrans" cxnId="{E8978F28-E314-4363-888F-8E8991F58212}">
      <dgm:prSet/>
      <dgm:spPr/>
      <dgm:t>
        <a:bodyPr/>
        <a:lstStyle/>
        <a:p>
          <a:endParaRPr lang="en-GB"/>
        </a:p>
      </dgm:t>
    </dgm:pt>
    <dgm:pt modelId="{28E11134-6A75-4DCF-90A0-DF87FA828652}" type="pres">
      <dgm:prSet presAssocID="{50748D97-1FE7-40BE-8970-2CDE6D751FDC}" presName="Name0" presStyleCnt="0">
        <dgm:presLayoutVars>
          <dgm:chMax val="1"/>
          <dgm:dir/>
          <dgm:animLvl val="ctr"/>
          <dgm:resizeHandles val="exact"/>
        </dgm:presLayoutVars>
      </dgm:prSet>
      <dgm:spPr/>
    </dgm:pt>
    <dgm:pt modelId="{9B3FFA4F-0570-4E4B-8D96-945106174B92}" type="pres">
      <dgm:prSet presAssocID="{40376989-E9DE-4A9D-93FA-E3BB3DA9268C}" presName="centerShape" presStyleLbl="node0" presStyleIdx="0" presStyleCnt="1"/>
      <dgm:spPr/>
    </dgm:pt>
    <dgm:pt modelId="{4166E199-4C42-4698-8E25-A313BC4DAA8A}" type="pres">
      <dgm:prSet presAssocID="{79DEF93F-534F-4333-81B8-C96C5178EF44}" presName="node" presStyleLbl="node1" presStyleIdx="0" presStyleCnt="4">
        <dgm:presLayoutVars>
          <dgm:bulletEnabled val="1"/>
        </dgm:presLayoutVars>
      </dgm:prSet>
      <dgm:spPr/>
    </dgm:pt>
    <dgm:pt modelId="{A7C70028-C027-4927-AE1A-41F50894BBFD}" type="pres">
      <dgm:prSet presAssocID="{79DEF93F-534F-4333-81B8-C96C5178EF44}" presName="dummy" presStyleCnt="0"/>
      <dgm:spPr/>
    </dgm:pt>
    <dgm:pt modelId="{5F9B2BB3-2B13-4E75-BDD7-D0F42A412432}" type="pres">
      <dgm:prSet presAssocID="{2439AF80-CCB5-4A12-9A67-9C1692EC2381}" presName="sibTrans" presStyleLbl="sibTrans2D1" presStyleIdx="0" presStyleCnt="4"/>
      <dgm:spPr/>
    </dgm:pt>
    <dgm:pt modelId="{D6E21FBF-44DF-4F1A-B336-3969DE4063D3}" type="pres">
      <dgm:prSet presAssocID="{2089A730-2782-4660-B6FB-99E47478425B}" presName="node" presStyleLbl="node1" presStyleIdx="1" presStyleCnt="4">
        <dgm:presLayoutVars>
          <dgm:bulletEnabled val="1"/>
        </dgm:presLayoutVars>
      </dgm:prSet>
      <dgm:spPr/>
    </dgm:pt>
    <dgm:pt modelId="{2DABAB08-EBBF-4CC0-95C6-0E573E45230F}" type="pres">
      <dgm:prSet presAssocID="{2089A730-2782-4660-B6FB-99E47478425B}" presName="dummy" presStyleCnt="0"/>
      <dgm:spPr/>
    </dgm:pt>
    <dgm:pt modelId="{9BE3ABAB-0368-43FB-91D6-FDA2988870C9}" type="pres">
      <dgm:prSet presAssocID="{F634C158-680D-4688-B656-BD23E446B872}" presName="sibTrans" presStyleLbl="sibTrans2D1" presStyleIdx="1" presStyleCnt="4"/>
      <dgm:spPr/>
    </dgm:pt>
    <dgm:pt modelId="{BE9EC546-69C6-4A0C-9927-F68F197C2288}" type="pres">
      <dgm:prSet presAssocID="{2E7C08E3-7F66-4F18-A339-8416648BF9E5}" presName="node" presStyleLbl="node1" presStyleIdx="2" presStyleCnt="4">
        <dgm:presLayoutVars>
          <dgm:bulletEnabled val="1"/>
        </dgm:presLayoutVars>
      </dgm:prSet>
      <dgm:spPr/>
    </dgm:pt>
    <dgm:pt modelId="{6FD776BB-BA25-44F8-8701-909C3E0F33A1}" type="pres">
      <dgm:prSet presAssocID="{2E7C08E3-7F66-4F18-A339-8416648BF9E5}" presName="dummy" presStyleCnt="0"/>
      <dgm:spPr/>
    </dgm:pt>
    <dgm:pt modelId="{46E8F7BE-055D-44B4-821F-0ED763BD1068}" type="pres">
      <dgm:prSet presAssocID="{749C6B84-FE21-4C9E-B540-27B1F472497A}" presName="sibTrans" presStyleLbl="sibTrans2D1" presStyleIdx="2" presStyleCnt="4"/>
      <dgm:spPr/>
    </dgm:pt>
    <dgm:pt modelId="{219FA4AB-90A7-4D7A-A18C-958CCEBE66C4}" type="pres">
      <dgm:prSet presAssocID="{E4F6831B-A237-48CE-9F4B-BCDDB665CCB3}" presName="node" presStyleLbl="node1" presStyleIdx="3" presStyleCnt="4">
        <dgm:presLayoutVars>
          <dgm:bulletEnabled val="1"/>
        </dgm:presLayoutVars>
      </dgm:prSet>
      <dgm:spPr/>
    </dgm:pt>
    <dgm:pt modelId="{1324E0CE-90B7-4009-B70A-E9E215F033B3}" type="pres">
      <dgm:prSet presAssocID="{E4F6831B-A237-48CE-9F4B-BCDDB665CCB3}" presName="dummy" presStyleCnt="0"/>
      <dgm:spPr/>
    </dgm:pt>
    <dgm:pt modelId="{DDE48313-12A0-4E3F-9839-4B45153DA1D6}" type="pres">
      <dgm:prSet presAssocID="{3412062D-4BFF-4FAF-8186-C1E45111BCCD}" presName="sibTrans" presStyleLbl="sibTrans2D1" presStyleIdx="3" presStyleCnt="4"/>
      <dgm:spPr/>
    </dgm:pt>
  </dgm:ptLst>
  <dgm:cxnLst>
    <dgm:cxn modelId="{E8978F28-E314-4363-888F-8E8991F58212}" srcId="{40376989-E9DE-4A9D-93FA-E3BB3DA9268C}" destId="{E4F6831B-A237-48CE-9F4B-BCDDB665CCB3}" srcOrd="3" destOrd="0" parTransId="{C78F0FA8-951F-40D6-A1F8-477E8A0E807B}" sibTransId="{3412062D-4BFF-4FAF-8186-C1E45111BCCD}"/>
    <dgm:cxn modelId="{99709F41-2963-4BFB-82A7-8EAF07658086}" srcId="{50748D97-1FE7-40BE-8970-2CDE6D751FDC}" destId="{40376989-E9DE-4A9D-93FA-E3BB3DA9268C}" srcOrd="0" destOrd="0" parTransId="{35ABECA8-1720-4A46-BE97-EBF163087507}" sibTransId="{5A99E807-47FB-4819-A7DB-53466F9F4BBF}"/>
    <dgm:cxn modelId="{30389E45-B3A6-4871-9540-720833C3FCF1}" type="presOf" srcId="{40376989-E9DE-4A9D-93FA-E3BB3DA9268C}" destId="{9B3FFA4F-0570-4E4B-8D96-945106174B92}" srcOrd="0" destOrd="0" presId="urn:microsoft.com/office/officeart/2005/8/layout/radial6"/>
    <dgm:cxn modelId="{064C1346-9980-481A-92F2-D1B98565140C}" type="presOf" srcId="{2089A730-2782-4660-B6FB-99E47478425B}" destId="{D6E21FBF-44DF-4F1A-B336-3969DE4063D3}" srcOrd="0" destOrd="0" presId="urn:microsoft.com/office/officeart/2005/8/layout/radial6"/>
    <dgm:cxn modelId="{E5519050-4030-4C1F-9316-976E9EE6DD0F}" type="presOf" srcId="{50748D97-1FE7-40BE-8970-2CDE6D751FDC}" destId="{28E11134-6A75-4DCF-90A0-DF87FA828652}" srcOrd="0" destOrd="0" presId="urn:microsoft.com/office/officeart/2005/8/layout/radial6"/>
    <dgm:cxn modelId="{1C53E378-7FB5-40DD-9BBB-B2DFDC24111D}" srcId="{40376989-E9DE-4A9D-93FA-E3BB3DA9268C}" destId="{2E7C08E3-7F66-4F18-A339-8416648BF9E5}" srcOrd="2" destOrd="0" parTransId="{98426508-A2EB-4E17-8EFE-867740FA1532}" sibTransId="{749C6B84-FE21-4C9E-B540-27B1F472497A}"/>
    <dgm:cxn modelId="{43CA6C80-F2F8-4B29-BC96-8F1207792240}" type="presOf" srcId="{79DEF93F-534F-4333-81B8-C96C5178EF44}" destId="{4166E199-4C42-4698-8E25-A313BC4DAA8A}" srcOrd="0" destOrd="0" presId="urn:microsoft.com/office/officeart/2005/8/layout/radial6"/>
    <dgm:cxn modelId="{D944518C-9651-4C8F-AC3B-5649341E06E2}" type="presOf" srcId="{E4F6831B-A237-48CE-9F4B-BCDDB665CCB3}" destId="{219FA4AB-90A7-4D7A-A18C-958CCEBE66C4}" srcOrd="0" destOrd="0" presId="urn:microsoft.com/office/officeart/2005/8/layout/radial6"/>
    <dgm:cxn modelId="{D6581D94-1379-4F17-8030-671A436EFFF3}" srcId="{40376989-E9DE-4A9D-93FA-E3BB3DA9268C}" destId="{79DEF93F-534F-4333-81B8-C96C5178EF44}" srcOrd="0" destOrd="0" parTransId="{8F016105-5E43-49EF-9AC7-283B501742B0}" sibTransId="{2439AF80-CCB5-4A12-9A67-9C1692EC2381}"/>
    <dgm:cxn modelId="{AA60BFA2-DCBF-4732-9448-82B0AD972B15}" type="presOf" srcId="{749C6B84-FE21-4C9E-B540-27B1F472497A}" destId="{46E8F7BE-055D-44B4-821F-0ED763BD1068}" srcOrd="0" destOrd="0" presId="urn:microsoft.com/office/officeart/2005/8/layout/radial6"/>
    <dgm:cxn modelId="{97A181A3-F68D-4582-8FF6-CB460660653E}" srcId="{40376989-E9DE-4A9D-93FA-E3BB3DA9268C}" destId="{2089A730-2782-4660-B6FB-99E47478425B}" srcOrd="1" destOrd="0" parTransId="{A010A4A6-366A-486B-AA2D-C792F77FBE02}" sibTransId="{F634C158-680D-4688-B656-BD23E446B872}"/>
    <dgm:cxn modelId="{4637B7B6-B141-4FE2-B705-F18CC75791AE}" type="presOf" srcId="{2439AF80-CCB5-4A12-9A67-9C1692EC2381}" destId="{5F9B2BB3-2B13-4E75-BDD7-D0F42A412432}" srcOrd="0" destOrd="0" presId="urn:microsoft.com/office/officeart/2005/8/layout/radial6"/>
    <dgm:cxn modelId="{30847DB8-258C-4FC8-85A2-6EA88B281CD1}" type="presOf" srcId="{2E7C08E3-7F66-4F18-A339-8416648BF9E5}" destId="{BE9EC546-69C6-4A0C-9927-F68F197C2288}" srcOrd="0" destOrd="0" presId="urn:microsoft.com/office/officeart/2005/8/layout/radial6"/>
    <dgm:cxn modelId="{AAFAC9C7-3E5F-49CC-BBF1-E5A3CC4B4C37}" type="presOf" srcId="{3412062D-4BFF-4FAF-8186-C1E45111BCCD}" destId="{DDE48313-12A0-4E3F-9839-4B45153DA1D6}" srcOrd="0" destOrd="0" presId="urn:microsoft.com/office/officeart/2005/8/layout/radial6"/>
    <dgm:cxn modelId="{8BF7ABEF-85E8-4563-B6B9-230E192B7F9B}" type="presOf" srcId="{F634C158-680D-4688-B656-BD23E446B872}" destId="{9BE3ABAB-0368-43FB-91D6-FDA2988870C9}" srcOrd="0" destOrd="0" presId="urn:microsoft.com/office/officeart/2005/8/layout/radial6"/>
    <dgm:cxn modelId="{2008E25B-5C71-4A91-866B-1F336B927C29}" type="presParOf" srcId="{28E11134-6A75-4DCF-90A0-DF87FA828652}" destId="{9B3FFA4F-0570-4E4B-8D96-945106174B92}" srcOrd="0" destOrd="0" presId="urn:microsoft.com/office/officeart/2005/8/layout/radial6"/>
    <dgm:cxn modelId="{866814D4-6D2D-4710-A421-FEC8C3C1AF84}" type="presParOf" srcId="{28E11134-6A75-4DCF-90A0-DF87FA828652}" destId="{4166E199-4C42-4698-8E25-A313BC4DAA8A}" srcOrd="1" destOrd="0" presId="urn:microsoft.com/office/officeart/2005/8/layout/radial6"/>
    <dgm:cxn modelId="{E7C36C06-328E-476F-8F0F-B46582A0D9AB}" type="presParOf" srcId="{28E11134-6A75-4DCF-90A0-DF87FA828652}" destId="{A7C70028-C027-4927-AE1A-41F50894BBFD}" srcOrd="2" destOrd="0" presId="urn:microsoft.com/office/officeart/2005/8/layout/radial6"/>
    <dgm:cxn modelId="{9E1AD77C-2B5E-4764-8E4B-800DBAE3AE59}" type="presParOf" srcId="{28E11134-6A75-4DCF-90A0-DF87FA828652}" destId="{5F9B2BB3-2B13-4E75-BDD7-D0F42A412432}" srcOrd="3" destOrd="0" presId="urn:microsoft.com/office/officeart/2005/8/layout/radial6"/>
    <dgm:cxn modelId="{BF197C3C-2B2F-4326-B831-16F110AF749D}" type="presParOf" srcId="{28E11134-6A75-4DCF-90A0-DF87FA828652}" destId="{D6E21FBF-44DF-4F1A-B336-3969DE4063D3}" srcOrd="4" destOrd="0" presId="urn:microsoft.com/office/officeart/2005/8/layout/radial6"/>
    <dgm:cxn modelId="{60FDCDC8-B855-4CC6-BCB4-A612718D27B4}" type="presParOf" srcId="{28E11134-6A75-4DCF-90A0-DF87FA828652}" destId="{2DABAB08-EBBF-4CC0-95C6-0E573E45230F}" srcOrd="5" destOrd="0" presId="urn:microsoft.com/office/officeart/2005/8/layout/radial6"/>
    <dgm:cxn modelId="{32744AA1-A9CB-4278-8B46-6C51646A9CF7}" type="presParOf" srcId="{28E11134-6A75-4DCF-90A0-DF87FA828652}" destId="{9BE3ABAB-0368-43FB-91D6-FDA2988870C9}" srcOrd="6" destOrd="0" presId="urn:microsoft.com/office/officeart/2005/8/layout/radial6"/>
    <dgm:cxn modelId="{B3B12FF8-FC27-4438-8209-789021DF33FE}" type="presParOf" srcId="{28E11134-6A75-4DCF-90A0-DF87FA828652}" destId="{BE9EC546-69C6-4A0C-9927-F68F197C2288}" srcOrd="7" destOrd="0" presId="urn:microsoft.com/office/officeart/2005/8/layout/radial6"/>
    <dgm:cxn modelId="{43C05071-8149-4562-9706-B28D5FC3EDA2}" type="presParOf" srcId="{28E11134-6A75-4DCF-90A0-DF87FA828652}" destId="{6FD776BB-BA25-44F8-8701-909C3E0F33A1}" srcOrd="8" destOrd="0" presId="urn:microsoft.com/office/officeart/2005/8/layout/radial6"/>
    <dgm:cxn modelId="{AD021216-5C5C-4671-B1C7-91D9A5FDFBDF}" type="presParOf" srcId="{28E11134-6A75-4DCF-90A0-DF87FA828652}" destId="{46E8F7BE-055D-44B4-821F-0ED763BD1068}" srcOrd="9" destOrd="0" presId="urn:microsoft.com/office/officeart/2005/8/layout/radial6"/>
    <dgm:cxn modelId="{A00C8F38-37E6-487D-879E-00ADBA648673}" type="presParOf" srcId="{28E11134-6A75-4DCF-90A0-DF87FA828652}" destId="{219FA4AB-90A7-4D7A-A18C-958CCEBE66C4}" srcOrd="10" destOrd="0" presId="urn:microsoft.com/office/officeart/2005/8/layout/radial6"/>
    <dgm:cxn modelId="{A83EBC86-E195-4649-80FA-FECB7C48CEBC}" type="presParOf" srcId="{28E11134-6A75-4DCF-90A0-DF87FA828652}" destId="{1324E0CE-90B7-4009-B70A-E9E215F033B3}" srcOrd="11" destOrd="0" presId="urn:microsoft.com/office/officeart/2005/8/layout/radial6"/>
    <dgm:cxn modelId="{800E1377-8E36-4A6B-A428-2FF1237B9008}" type="presParOf" srcId="{28E11134-6A75-4DCF-90A0-DF87FA828652}" destId="{DDE48313-12A0-4E3F-9839-4B45153DA1D6}" srcOrd="12" destOrd="0" presId="urn:microsoft.com/office/officeart/2005/8/layout/radial6"/>
  </dgm:cxnLst>
  <dgm:bg/>
  <dgm:whole/>
  <dgm:extLst>
    <a:ext uri="http://schemas.microsoft.com/office/drawing/2008/diagram">
      <dsp:dataModelExt xmlns:dsp="http://schemas.microsoft.com/office/drawing/2008/diagram" relId="rId12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50748D97-1FE7-40BE-8970-2CDE6D751FDC}" type="doc">
      <dgm:prSet loTypeId="urn:microsoft.com/office/officeart/2005/8/layout/radial6" loCatId="cycle" qsTypeId="urn:microsoft.com/office/officeart/2005/8/quickstyle/simple1" qsCatId="simple" csTypeId="urn:microsoft.com/office/officeart/2005/8/colors/colorful3" csCatId="colorful" phldr="1"/>
      <dgm:spPr/>
      <dgm:t>
        <a:bodyPr/>
        <a:lstStyle/>
        <a:p>
          <a:endParaRPr lang="en-GB"/>
        </a:p>
      </dgm:t>
    </dgm:pt>
    <dgm:pt modelId="{40376989-E9DE-4A9D-93FA-E3BB3DA9268C}">
      <dgm:prSet phldrT="[Text]"/>
      <dgm:spPr/>
      <dgm:t>
        <a:bodyPr/>
        <a:lstStyle/>
        <a:p>
          <a:r>
            <a:rPr lang="en-GB" b="1"/>
            <a:t>Financial Statements</a:t>
          </a:r>
        </a:p>
      </dgm:t>
    </dgm:pt>
    <dgm:pt modelId="{35ABECA8-1720-4A46-BE97-EBF163087507}" type="parTrans" cxnId="{99709F41-2963-4BFB-82A7-8EAF07658086}">
      <dgm:prSet/>
      <dgm:spPr/>
      <dgm:t>
        <a:bodyPr/>
        <a:lstStyle/>
        <a:p>
          <a:endParaRPr lang="en-GB" b="1"/>
        </a:p>
      </dgm:t>
    </dgm:pt>
    <dgm:pt modelId="{5A99E807-47FB-4819-A7DB-53466F9F4BBF}" type="sibTrans" cxnId="{99709F41-2963-4BFB-82A7-8EAF07658086}">
      <dgm:prSet/>
      <dgm:spPr/>
      <dgm:t>
        <a:bodyPr/>
        <a:lstStyle/>
        <a:p>
          <a:endParaRPr lang="en-GB" b="1"/>
        </a:p>
      </dgm:t>
    </dgm:pt>
    <dgm:pt modelId="{79DEF93F-534F-4333-81B8-C96C5178EF44}">
      <dgm:prSet phldrT="[Text]"/>
      <dgm:spPr/>
      <dgm:t>
        <a:bodyPr/>
        <a:lstStyle/>
        <a:p>
          <a:r>
            <a:rPr lang="en-GB" b="1"/>
            <a:t>P&amp;L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8F016105-5E43-49EF-9AC7-283B501742B0}" type="parTrans" cxnId="{D6581D94-1379-4F17-8030-671A436EFFF3}">
      <dgm:prSet/>
      <dgm:spPr/>
      <dgm:t>
        <a:bodyPr/>
        <a:lstStyle/>
        <a:p>
          <a:endParaRPr lang="en-GB" b="1"/>
        </a:p>
      </dgm:t>
    </dgm:pt>
    <dgm:pt modelId="{2439AF80-CCB5-4A12-9A67-9C1692EC2381}" type="sibTrans" cxnId="{D6581D94-1379-4F17-8030-671A436EFFF3}">
      <dgm:prSet/>
      <dgm:spPr/>
      <dgm:t>
        <a:bodyPr/>
        <a:lstStyle/>
        <a:p>
          <a:endParaRPr lang="en-GB" b="1"/>
        </a:p>
      </dgm:t>
    </dgm:pt>
    <dgm:pt modelId="{2089A730-2782-4660-B6FB-99E47478425B}">
      <dgm:prSet phldrT="[Text]"/>
      <dgm:spPr/>
      <dgm:t>
        <a:bodyPr/>
        <a:lstStyle/>
        <a:p>
          <a:r>
            <a:rPr lang="en-GB" b="1"/>
            <a:t>Cash Flows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A010A4A6-366A-486B-AA2D-C792F77FBE02}" type="parTrans" cxnId="{97A181A3-F68D-4582-8FF6-CB460660653E}">
      <dgm:prSet/>
      <dgm:spPr/>
      <dgm:t>
        <a:bodyPr/>
        <a:lstStyle/>
        <a:p>
          <a:endParaRPr lang="en-GB" b="1"/>
        </a:p>
      </dgm:t>
    </dgm:pt>
    <dgm:pt modelId="{F634C158-680D-4688-B656-BD23E446B872}" type="sibTrans" cxnId="{97A181A3-F68D-4582-8FF6-CB460660653E}">
      <dgm:prSet/>
      <dgm:spPr/>
      <dgm:t>
        <a:bodyPr/>
        <a:lstStyle/>
        <a:p>
          <a:endParaRPr lang="en-GB" b="1"/>
        </a:p>
      </dgm:t>
    </dgm:pt>
    <dgm:pt modelId="{2E7C08E3-7F66-4F18-A339-8416648BF9E5}">
      <dgm:prSet phldrT="[Text]"/>
      <dgm:spPr/>
      <dgm:t>
        <a:bodyPr/>
        <a:lstStyle/>
        <a:p>
          <a:r>
            <a:rPr lang="en-GB" b="1"/>
            <a:t>Balance Sheet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98426508-A2EB-4E17-8EFE-867740FA1532}" type="parTrans" cxnId="{1C53E378-7FB5-40DD-9BBB-B2DFDC24111D}">
      <dgm:prSet/>
      <dgm:spPr/>
      <dgm:t>
        <a:bodyPr/>
        <a:lstStyle/>
        <a:p>
          <a:endParaRPr lang="en-GB"/>
        </a:p>
      </dgm:t>
    </dgm:pt>
    <dgm:pt modelId="{749C6B84-FE21-4C9E-B540-27B1F472497A}" type="sibTrans" cxnId="{1C53E378-7FB5-40DD-9BBB-B2DFDC24111D}">
      <dgm:prSet/>
      <dgm:spPr/>
      <dgm:t>
        <a:bodyPr/>
        <a:lstStyle/>
        <a:p>
          <a:endParaRPr lang="en-GB"/>
        </a:p>
      </dgm:t>
    </dgm:pt>
    <dgm:pt modelId="{E4F6831B-A237-48CE-9F4B-BCDDB665CCB3}">
      <dgm:prSet phldrT="[Text]"/>
      <dgm:spPr/>
      <dgm:t>
        <a:bodyPr/>
        <a:lstStyle/>
        <a:p>
          <a:r>
            <a:rPr lang="en-GB" b="1"/>
            <a:t>Breakeven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C78F0FA8-951F-40D6-A1F8-477E8A0E807B}" type="parTrans" cxnId="{E8978F28-E314-4363-888F-8E8991F58212}">
      <dgm:prSet/>
      <dgm:spPr/>
      <dgm:t>
        <a:bodyPr/>
        <a:lstStyle/>
        <a:p>
          <a:endParaRPr lang="en-GB"/>
        </a:p>
      </dgm:t>
    </dgm:pt>
    <dgm:pt modelId="{3412062D-4BFF-4FAF-8186-C1E45111BCCD}" type="sibTrans" cxnId="{E8978F28-E314-4363-888F-8E8991F58212}">
      <dgm:prSet/>
      <dgm:spPr/>
      <dgm:t>
        <a:bodyPr/>
        <a:lstStyle/>
        <a:p>
          <a:endParaRPr lang="en-GB"/>
        </a:p>
      </dgm:t>
    </dgm:pt>
    <dgm:pt modelId="{28E11134-6A75-4DCF-90A0-DF87FA828652}" type="pres">
      <dgm:prSet presAssocID="{50748D97-1FE7-40BE-8970-2CDE6D751FDC}" presName="Name0" presStyleCnt="0">
        <dgm:presLayoutVars>
          <dgm:chMax val="1"/>
          <dgm:dir/>
          <dgm:animLvl val="ctr"/>
          <dgm:resizeHandles val="exact"/>
        </dgm:presLayoutVars>
      </dgm:prSet>
      <dgm:spPr/>
    </dgm:pt>
    <dgm:pt modelId="{9B3FFA4F-0570-4E4B-8D96-945106174B92}" type="pres">
      <dgm:prSet presAssocID="{40376989-E9DE-4A9D-93FA-E3BB3DA9268C}" presName="centerShape" presStyleLbl="node0" presStyleIdx="0" presStyleCnt="1"/>
      <dgm:spPr/>
    </dgm:pt>
    <dgm:pt modelId="{4166E199-4C42-4698-8E25-A313BC4DAA8A}" type="pres">
      <dgm:prSet presAssocID="{79DEF93F-534F-4333-81B8-C96C5178EF44}" presName="node" presStyleLbl="node1" presStyleIdx="0" presStyleCnt="4">
        <dgm:presLayoutVars>
          <dgm:bulletEnabled val="1"/>
        </dgm:presLayoutVars>
      </dgm:prSet>
      <dgm:spPr/>
    </dgm:pt>
    <dgm:pt modelId="{A7C70028-C027-4927-AE1A-41F50894BBFD}" type="pres">
      <dgm:prSet presAssocID="{79DEF93F-534F-4333-81B8-C96C5178EF44}" presName="dummy" presStyleCnt="0"/>
      <dgm:spPr/>
    </dgm:pt>
    <dgm:pt modelId="{5F9B2BB3-2B13-4E75-BDD7-D0F42A412432}" type="pres">
      <dgm:prSet presAssocID="{2439AF80-CCB5-4A12-9A67-9C1692EC2381}" presName="sibTrans" presStyleLbl="sibTrans2D1" presStyleIdx="0" presStyleCnt="4"/>
      <dgm:spPr/>
    </dgm:pt>
    <dgm:pt modelId="{D6E21FBF-44DF-4F1A-B336-3969DE4063D3}" type="pres">
      <dgm:prSet presAssocID="{2089A730-2782-4660-B6FB-99E47478425B}" presName="node" presStyleLbl="node1" presStyleIdx="1" presStyleCnt="4">
        <dgm:presLayoutVars>
          <dgm:bulletEnabled val="1"/>
        </dgm:presLayoutVars>
      </dgm:prSet>
      <dgm:spPr/>
    </dgm:pt>
    <dgm:pt modelId="{2DABAB08-EBBF-4CC0-95C6-0E573E45230F}" type="pres">
      <dgm:prSet presAssocID="{2089A730-2782-4660-B6FB-99E47478425B}" presName="dummy" presStyleCnt="0"/>
      <dgm:spPr/>
    </dgm:pt>
    <dgm:pt modelId="{9BE3ABAB-0368-43FB-91D6-FDA2988870C9}" type="pres">
      <dgm:prSet presAssocID="{F634C158-680D-4688-B656-BD23E446B872}" presName="sibTrans" presStyleLbl="sibTrans2D1" presStyleIdx="1" presStyleCnt="4"/>
      <dgm:spPr/>
    </dgm:pt>
    <dgm:pt modelId="{BE9EC546-69C6-4A0C-9927-F68F197C2288}" type="pres">
      <dgm:prSet presAssocID="{2E7C08E3-7F66-4F18-A339-8416648BF9E5}" presName="node" presStyleLbl="node1" presStyleIdx="2" presStyleCnt="4">
        <dgm:presLayoutVars>
          <dgm:bulletEnabled val="1"/>
        </dgm:presLayoutVars>
      </dgm:prSet>
      <dgm:spPr/>
    </dgm:pt>
    <dgm:pt modelId="{6FD776BB-BA25-44F8-8701-909C3E0F33A1}" type="pres">
      <dgm:prSet presAssocID="{2E7C08E3-7F66-4F18-A339-8416648BF9E5}" presName="dummy" presStyleCnt="0"/>
      <dgm:spPr/>
    </dgm:pt>
    <dgm:pt modelId="{46E8F7BE-055D-44B4-821F-0ED763BD1068}" type="pres">
      <dgm:prSet presAssocID="{749C6B84-FE21-4C9E-B540-27B1F472497A}" presName="sibTrans" presStyleLbl="sibTrans2D1" presStyleIdx="2" presStyleCnt="4"/>
      <dgm:spPr/>
    </dgm:pt>
    <dgm:pt modelId="{219FA4AB-90A7-4D7A-A18C-958CCEBE66C4}" type="pres">
      <dgm:prSet presAssocID="{E4F6831B-A237-48CE-9F4B-BCDDB665CCB3}" presName="node" presStyleLbl="node1" presStyleIdx="3" presStyleCnt="4">
        <dgm:presLayoutVars>
          <dgm:bulletEnabled val="1"/>
        </dgm:presLayoutVars>
      </dgm:prSet>
      <dgm:spPr/>
    </dgm:pt>
    <dgm:pt modelId="{1324E0CE-90B7-4009-B70A-E9E215F033B3}" type="pres">
      <dgm:prSet presAssocID="{E4F6831B-A237-48CE-9F4B-BCDDB665CCB3}" presName="dummy" presStyleCnt="0"/>
      <dgm:spPr/>
    </dgm:pt>
    <dgm:pt modelId="{DDE48313-12A0-4E3F-9839-4B45153DA1D6}" type="pres">
      <dgm:prSet presAssocID="{3412062D-4BFF-4FAF-8186-C1E45111BCCD}" presName="sibTrans" presStyleLbl="sibTrans2D1" presStyleIdx="3" presStyleCnt="4"/>
      <dgm:spPr/>
    </dgm:pt>
  </dgm:ptLst>
  <dgm:cxnLst>
    <dgm:cxn modelId="{E8978F28-E314-4363-888F-8E8991F58212}" srcId="{40376989-E9DE-4A9D-93FA-E3BB3DA9268C}" destId="{E4F6831B-A237-48CE-9F4B-BCDDB665CCB3}" srcOrd="3" destOrd="0" parTransId="{C78F0FA8-951F-40D6-A1F8-477E8A0E807B}" sibTransId="{3412062D-4BFF-4FAF-8186-C1E45111BCCD}"/>
    <dgm:cxn modelId="{99709F41-2963-4BFB-82A7-8EAF07658086}" srcId="{50748D97-1FE7-40BE-8970-2CDE6D751FDC}" destId="{40376989-E9DE-4A9D-93FA-E3BB3DA9268C}" srcOrd="0" destOrd="0" parTransId="{35ABECA8-1720-4A46-BE97-EBF163087507}" sibTransId="{5A99E807-47FB-4819-A7DB-53466F9F4BBF}"/>
    <dgm:cxn modelId="{30389E45-B3A6-4871-9540-720833C3FCF1}" type="presOf" srcId="{40376989-E9DE-4A9D-93FA-E3BB3DA9268C}" destId="{9B3FFA4F-0570-4E4B-8D96-945106174B92}" srcOrd="0" destOrd="0" presId="urn:microsoft.com/office/officeart/2005/8/layout/radial6"/>
    <dgm:cxn modelId="{064C1346-9980-481A-92F2-D1B98565140C}" type="presOf" srcId="{2089A730-2782-4660-B6FB-99E47478425B}" destId="{D6E21FBF-44DF-4F1A-B336-3969DE4063D3}" srcOrd="0" destOrd="0" presId="urn:microsoft.com/office/officeart/2005/8/layout/radial6"/>
    <dgm:cxn modelId="{E5519050-4030-4C1F-9316-976E9EE6DD0F}" type="presOf" srcId="{50748D97-1FE7-40BE-8970-2CDE6D751FDC}" destId="{28E11134-6A75-4DCF-90A0-DF87FA828652}" srcOrd="0" destOrd="0" presId="urn:microsoft.com/office/officeart/2005/8/layout/radial6"/>
    <dgm:cxn modelId="{1C53E378-7FB5-40DD-9BBB-B2DFDC24111D}" srcId="{40376989-E9DE-4A9D-93FA-E3BB3DA9268C}" destId="{2E7C08E3-7F66-4F18-A339-8416648BF9E5}" srcOrd="2" destOrd="0" parTransId="{98426508-A2EB-4E17-8EFE-867740FA1532}" sibTransId="{749C6B84-FE21-4C9E-B540-27B1F472497A}"/>
    <dgm:cxn modelId="{43CA6C80-F2F8-4B29-BC96-8F1207792240}" type="presOf" srcId="{79DEF93F-534F-4333-81B8-C96C5178EF44}" destId="{4166E199-4C42-4698-8E25-A313BC4DAA8A}" srcOrd="0" destOrd="0" presId="urn:microsoft.com/office/officeart/2005/8/layout/radial6"/>
    <dgm:cxn modelId="{D944518C-9651-4C8F-AC3B-5649341E06E2}" type="presOf" srcId="{E4F6831B-A237-48CE-9F4B-BCDDB665CCB3}" destId="{219FA4AB-90A7-4D7A-A18C-958CCEBE66C4}" srcOrd="0" destOrd="0" presId="urn:microsoft.com/office/officeart/2005/8/layout/radial6"/>
    <dgm:cxn modelId="{D6581D94-1379-4F17-8030-671A436EFFF3}" srcId="{40376989-E9DE-4A9D-93FA-E3BB3DA9268C}" destId="{79DEF93F-534F-4333-81B8-C96C5178EF44}" srcOrd="0" destOrd="0" parTransId="{8F016105-5E43-49EF-9AC7-283B501742B0}" sibTransId="{2439AF80-CCB5-4A12-9A67-9C1692EC2381}"/>
    <dgm:cxn modelId="{AA60BFA2-DCBF-4732-9448-82B0AD972B15}" type="presOf" srcId="{749C6B84-FE21-4C9E-B540-27B1F472497A}" destId="{46E8F7BE-055D-44B4-821F-0ED763BD1068}" srcOrd="0" destOrd="0" presId="urn:microsoft.com/office/officeart/2005/8/layout/radial6"/>
    <dgm:cxn modelId="{97A181A3-F68D-4582-8FF6-CB460660653E}" srcId="{40376989-E9DE-4A9D-93FA-E3BB3DA9268C}" destId="{2089A730-2782-4660-B6FB-99E47478425B}" srcOrd="1" destOrd="0" parTransId="{A010A4A6-366A-486B-AA2D-C792F77FBE02}" sibTransId="{F634C158-680D-4688-B656-BD23E446B872}"/>
    <dgm:cxn modelId="{4637B7B6-B141-4FE2-B705-F18CC75791AE}" type="presOf" srcId="{2439AF80-CCB5-4A12-9A67-9C1692EC2381}" destId="{5F9B2BB3-2B13-4E75-BDD7-D0F42A412432}" srcOrd="0" destOrd="0" presId="urn:microsoft.com/office/officeart/2005/8/layout/radial6"/>
    <dgm:cxn modelId="{30847DB8-258C-4FC8-85A2-6EA88B281CD1}" type="presOf" srcId="{2E7C08E3-7F66-4F18-A339-8416648BF9E5}" destId="{BE9EC546-69C6-4A0C-9927-F68F197C2288}" srcOrd="0" destOrd="0" presId="urn:microsoft.com/office/officeart/2005/8/layout/radial6"/>
    <dgm:cxn modelId="{AAFAC9C7-3E5F-49CC-BBF1-E5A3CC4B4C37}" type="presOf" srcId="{3412062D-4BFF-4FAF-8186-C1E45111BCCD}" destId="{DDE48313-12A0-4E3F-9839-4B45153DA1D6}" srcOrd="0" destOrd="0" presId="urn:microsoft.com/office/officeart/2005/8/layout/radial6"/>
    <dgm:cxn modelId="{8BF7ABEF-85E8-4563-B6B9-230E192B7F9B}" type="presOf" srcId="{F634C158-680D-4688-B656-BD23E446B872}" destId="{9BE3ABAB-0368-43FB-91D6-FDA2988870C9}" srcOrd="0" destOrd="0" presId="urn:microsoft.com/office/officeart/2005/8/layout/radial6"/>
    <dgm:cxn modelId="{2008E25B-5C71-4A91-866B-1F336B927C29}" type="presParOf" srcId="{28E11134-6A75-4DCF-90A0-DF87FA828652}" destId="{9B3FFA4F-0570-4E4B-8D96-945106174B92}" srcOrd="0" destOrd="0" presId="urn:microsoft.com/office/officeart/2005/8/layout/radial6"/>
    <dgm:cxn modelId="{866814D4-6D2D-4710-A421-FEC8C3C1AF84}" type="presParOf" srcId="{28E11134-6A75-4DCF-90A0-DF87FA828652}" destId="{4166E199-4C42-4698-8E25-A313BC4DAA8A}" srcOrd="1" destOrd="0" presId="urn:microsoft.com/office/officeart/2005/8/layout/radial6"/>
    <dgm:cxn modelId="{E7C36C06-328E-476F-8F0F-B46582A0D9AB}" type="presParOf" srcId="{28E11134-6A75-4DCF-90A0-DF87FA828652}" destId="{A7C70028-C027-4927-AE1A-41F50894BBFD}" srcOrd="2" destOrd="0" presId="urn:microsoft.com/office/officeart/2005/8/layout/radial6"/>
    <dgm:cxn modelId="{9E1AD77C-2B5E-4764-8E4B-800DBAE3AE59}" type="presParOf" srcId="{28E11134-6A75-4DCF-90A0-DF87FA828652}" destId="{5F9B2BB3-2B13-4E75-BDD7-D0F42A412432}" srcOrd="3" destOrd="0" presId="urn:microsoft.com/office/officeart/2005/8/layout/radial6"/>
    <dgm:cxn modelId="{BF197C3C-2B2F-4326-B831-16F110AF749D}" type="presParOf" srcId="{28E11134-6A75-4DCF-90A0-DF87FA828652}" destId="{D6E21FBF-44DF-4F1A-B336-3969DE4063D3}" srcOrd="4" destOrd="0" presId="urn:microsoft.com/office/officeart/2005/8/layout/radial6"/>
    <dgm:cxn modelId="{60FDCDC8-B855-4CC6-BCB4-A612718D27B4}" type="presParOf" srcId="{28E11134-6A75-4DCF-90A0-DF87FA828652}" destId="{2DABAB08-EBBF-4CC0-95C6-0E573E45230F}" srcOrd="5" destOrd="0" presId="urn:microsoft.com/office/officeart/2005/8/layout/radial6"/>
    <dgm:cxn modelId="{32744AA1-A9CB-4278-8B46-6C51646A9CF7}" type="presParOf" srcId="{28E11134-6A75-4DCF-90A0-DF87FA828652}" destId="{9BE3ABAB-0368-43FB-91D6-FDA2988870C9}" srcOrd="6" destOrd="0" presId="urn:microsoft.com/office/officeart/2005/8/layout/radial6"/>
    <dgm:cxn modelId="{B3B12FF8-FC27-4438-8209-789021DF33FE}" type="presParOf" srcId="{28E11134-6A75-4DCF-90A0-DF87FA828652}" destId="{BE9EC546-69C6-4A0C-9927-F68F197C2288}" srcOrd="7" destOrd="0" presId="urn:microsoft.com/office/officeart/2005/8/layout/radial6"/>
    <dgm:cxn modelId="{43C05071-8149-4562-9706-B28D5FC3EDA2}" type="presParOf" srcId="{28E11134-6A75-4DCF-90A0-DF87FA828652}" destId="{6FD776BB-BA25-44F8-8701-909C3E0F33A1}" srcOrd="8" destOrd="0" presId="urn:microsoft.com/office/officeart/2005/8/layout/radial6"/>
    <dgm:cxn modelId="{AD021216-5C5C-4671-B1C7-91D9A5FDFBDF}" type="presParOf" srcId="{28E11134-6A75-4DCF-90A0-DF87FA828652}" destId="{46E8F7BE-055D-44B4-821F-0ED763BD1068}" srcOrd="9" destOrd="0" presId="urn:microsoft.com/office/officeart/2005/8/layout/radial6"/>
    <dgm:cxn modelId="{A00C8F38-37E6-487D-879E-00ADBA648673}" type="presParOf" srcId="{28E11134-6A75-4DCF-90A0-DF87FA828652}" destId="{219FA4AB-90A7-4D7A-A18C-958CCEBE66C4}" srcOrd="10" destOrd="0" presId="urn:microsoft.com/office/officeart/2005/8/layout/radial6"/>
    <dgm:cxn modelId="{A83EBC86-E195-4649-80FA-FECB7C48CEBC}" type="presParOf" srcId="{28E11134-6A75-4DCF-90A0-DF87FA828652}" destId="{1324E0CE-90B7-4009-B70A-E9E215F033B3}" srcOrd="11" destOrd="0" presId="urn:microsoft.com/office/officeart/2005/8/layout/radial6"/>
    <dgm:cxn modelId="{800E1377-8E36-4A6B-A428-2FF1237B9008}" type="presParOf" srcId="{28E11134-6A75-4DCF-90A0-DF87FA828652}" destId="{DDE48313-12A0-4E3F-9839-4B45153DA1D6}" srcOrd="12" destOrd="0" presId="urn:microsoft.com/office/officeart/2005/8/layout/radial6"/>
  </dgm:cxnLst>
  <dgm:bg/>
  <dgm:whole/>
  <dgm:extLst>
    <a:ext uri="http://schemas.microsoft.com/office/drawing/2008/diagram">
      <dsp:dataModelExt xmlns:dsp="http://schemas.microsoft.com/office/drawing/2008/diagram" relId="rId17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50748D97-1FE7-40BE-8970-2CDE6D751FDC}" type="doc">
      <dgm:prSet loTypeId="urn:microsoft.com/office/officeart/2005/8/layout/radial6" loCatId="cycle" qsTypeId="urn:microsoft.com/office/officeart/2005/8/quickstyle/simple1" qsCatId="simple" csTypeId="urn:microsoft.com/office/officeart/2005/8/colors/colorful1" csCatId="colorful" phldr="1"/>
      <dgm:spPr/>
      <dgm:t>
        <a:bodyPr/>
        <a:lstStyle/>
        <a:p>
          <a:endParaRPr lang="en-GB"/>
        </a:p>
      </dgm:t>
    </dgm:pt>
    <dgm:pt modelId="{40376989-E9DE-4A9D-93FA-E3BB3DA9268C}">
      <dgm:prSet phldrT="[Text]"/>
      <dgm:spPr/>
      <dgm:t>
        <a:bodyPr/>
        <a:lstStyle/>
        <a:p>
          <a:r>
            <a:rPr lang="en-GB" b="1"/>
            <a:t>Revenue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35ABECA8-1720-4A46-BE97-EBF163087507}" type="parTrans" cxnId="{99709F41-2963-4BFB-82A7-8EAF07658086}">
      <dgm:prSet/>
      <dgm:spPr/>
      <dgm:t>
        <a:bodyPr/>
        <a:lstStyle/>
        <a:p>
          <a:endParaRPr lang="en-GB" b="1"/>
        </a:p>
      </dgm:t>
    </dgm:pt>
    <dgm:pt modelId="{5A99E807-47FB-4819-A7DB-53466F9F4BBF}" type="sibTrans" cxnId="{99709F41-2963-4BFB-82A7-8EAF07658086}">
      <dgm:prSet/>
      <dgm:spPr/>
      <dgm:t>
        <a:bodyPr/>
        <a:lstStyle/>
        <a:p>
          <a:endParaRPr lang="en-GB" b="1"/>
        </a:p>
      </dgm:t>
    </dgm:pt>
    <dgm:pt modelId="{79DEF93F-534F-4333-81B8-C96C5178EF44}">
      <dgm:prSet phldrT="[Text]"/>
      <dgm:spPr/>
      <dgm:t>
        <a:bodyPr/>
        <a:lstStyle/>
        <a:p>
          <a:r>
            <a:rPr lang="en-GB" b="1"/>
            <a:t>Fuel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8F016105-5E43-49EF-9AC7-283B501742B0}" type="parTrans" cxnId="{D6581D94-1379-4F17-8030-671A436EFFF3}">
      <dgm:prSet/>
      <dgm:spPr/>
      <dgm:t>
        <a:bodyPr/>
        <a:lstStyle/>
        <a:p>
          <a:endParaRPr lang="en-GB" b="1"/>
        </a:p>
      </dgm:t>
    </dgm:pt>
    <dgm:pt modelId="{2439AF80-CCB5-4A12-9A67-9C1692EC2381}" type="sibTrans" cxnId="{D6581D94-1379-4F17-8030-671A436EFFF3}">
      <dgm:prSet/>
      <dgm:spPr/>
      <dgm:t>
        <a:bodyPr/>
        <a:lstStyle/>
        <a:p>
          <a:endParaRPr lang="en-GB" b="1"/>
        </a:p>
      </dgm:t>
    </dgm:pt>
    <dgm:pt modelId="{2089A730-2782-4660-B6FB-99E47478425B}">
      <dgm:prSet phldrT="[Text]"/>
      <dgm:spPr/>
      <dgm:t>
        <a:bodyPr/>
        <a:lstStyle/>
        <a:p>
          <a:r>
            <a:rPr lang="en-GB" b="1"/>
            <a:t>Crew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A010A4A6-366A-486B-AA2D-C792F77FBE02}" type="parTrans" cxnId="{97A181A3-F68D-4582-8FF6-CB460660653E}">
      <dgm:prSet/>
      <dgm:spPr/>
      <dgm:t>
        <a:bodyPr/>
        <a:lstStyle/>
        <a:p>
          <a:endParaRPr lang="en-GB" b="1"/>
        </a:p>
      </dgm:t>
    </dgm:pt>
    <dgm:pt modelId="{F634C158-680D-4688-B656-BD23E446B872}" type="sibTrans" cxnId="{97A181A3-F68D-4582-8FF6-CB460660653E}">
      <dgm:prSet/>
      <dgm:spPr/>
      <dgm:t>
        <a:bodyPr/>
        <a:lstStyle/>
        <a:p>
          <a:endParaRPr lang="en-GB" b="1"/>
        </a:p>
      </dgm:t>
    </dgm:pt>
    <dgm:pt modelId="{A75E6620-97DA-455A-B9B9-B912985FC544}">
      <dgm:prSet phldrT="[Text]"/>
      <dgm:spPr/>
      <dgm:t>
        <a:bodyPr/>
        <a:lstStyle/>
        <a:p>
          <a:r>
            <a:rPr lang="en-GB" b="1"/>
            <a:t>Leasing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506D8970-1C20-4D10-9038-C6340F82DD8C}" type="parTrans" cxnId="{66147BF8-AED2-4224-95FB-C57090186D6E}">
      <dgm:prSet/>
      <dgm:spPr/>
      <dgm:t>
        <a:bodyPr/>
        <a:lstStyle/>
        <a:p>
          <a:endParaRPr lang="en-GB" b="1"/>
        </a:p>
      </dgm:t>
    </dgm:pt>
    <dgm:pt modelId="{1B610401-85E8-4993-8C9F-675B486654D4}" type="sibTrans" cxnId="{66147BF8-AED2-4224-95FB-C57090186D6E}">
      <dgm:prSet/>
      <dgm:spPr/>
      <dgm:t>
        <a:bodyPr/>
        <a:lstStyle/>
        <a:p>
          <a:endParaRPr lang="en-GB" b="1"/>
        </a:p>
      </dgm:t>
    </dgm:pt>
    <dgm:pt modelId="{DD2EEA83-44B8-4D2B-A6EC-A8B2022EB6F5}">
      <dgm:prSet phldrT="[Text]"/>
      <dgm:spPr/>
      <dgm:t>
        <a:bodyPr/>
        <a:lstStyle/>
        <a:p>
          <a:r>
            <a:rPr lang="en-GB" b="1"/>
            <a:t>Other costs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5C11A5D6-CF70-4C15-B895-7B20E1C713EF}" type="parTrans" cxnId="{59E25341-F9A0-4BFB-8D6C-A5F021652071}">
      <dgm:prSet/>
      <dgm:spPr/>
      <dgm:t>
        <a:bodyPr/>
        <a:lstStyle/>
        <a:p>
          <a:endParaRPr lang="en-GB" b="1"/>
        </a:p>
      </dgm:t>
    </dgm:pt>
    <dgm:pt modelId="{41C0A239-C778-4C86-9BBC-69F9123D2E15}" type="sibTrans" cxnId="{59E25341-F9A0-4BFB-8D6C-A5F021652071}">
      <dgm:prSet/>
      <dgm:spPr/>
      <dgm:t>
        <a:bodyPr/>
        <a:lstStyle/>
        <a:p>
          <a:endParaRPr lang="en-GB" b="1"/>
        </a:p>
      </dgm:t>
    </dgm:pt>
    <dgm:pt modelId="{28E11134-6A75-4DCF-90A0-DF87FA828652}" type="pres">
      <dgm:prSet presAssocID="{50748D97-1FE7-40BE-8970-2CDE6D751FDC}" presName="Name0" presStyleCnt="0">
        <dgm:presLayoutVars>
          <dgm:chMax val="1"/>
          <dgm:dir/>
          <dgm:animLvl val="ctr"/>
          <dgm:resizeHandles val="exact"/>
        </dgm:presLayoutVars>
      </dgm:prSet>
      <dgm:spPr/>
    </dgm:pt>
    <dgm:pt modelId="{9B3FFA4F-0570-4E4B-8D96-945106174B92}" type="pres">
      <dgm:prSet presAssocID="{40376989-E9DE-4A9D-93FA-E3BB3DA9268C}" presName="centerShape" presStyleLbl="node0" presStyleIdx="0" presStyleCnt="1"/>
      <dgm:spPr/>
    </dgm:pt>
    <dgm:pt modelId="{4166E199-4C42-4698-8E25-A313BC4DAA8A}" type="pres">
      <dgm:prSet presAssocID="{79DEF93F-534F-4333-81B8-C96C5178EF44}" presName="node" presStyleLbl="node1" presStyleIdx="0" presStyleCnt="4">
        <dgm:presLayoutVars>
          <dgm:bulletEnabled val="1"/>
        </dgm:presLayoutVars>
      </dgm:prSet>
      <dgm:spPr/>
    </dgm:pt>
    <dgm:pt modelId="{A7C70028-C027-4927-AE1A-41F50894BBFD}" type="pres">
      <dgm:prSet presAssocID="{79DEF93F-534F-4333-81B8-C96C5178EF44}" presName="dummy" presStyleCnt="0"/>
      <dgm:spPr/>
    </dgm:pt>
    <dgm:pt modelId="{5F9B2BB3-2B13-4E75-BDD7-D0F42A412432}" type="pres">
      <dgm:prSet presAssocID="{2439AF80-CCB5-4A12-9A67-9C1692EC2381}" presName="sibTrans" presStyleLbl="sibTrans2D1" presStyleIdx="0" presStyleCnt="4"/>
      <dgm:spPr/>
    </dgm:pt>
    <dgm:pt modelId="{D6E21FBF-44DF-4F1A-B336-3969DE4063D3}" type="pres">
      <dgm:prSet presAssocID="{2089A730-2782-4660-B6FB-99E47478425B}" presName="node" presStyleLbl="node1" presStyleIdx="1" presStyleCnt="4">
        <dgm:presLayoutVars>
          <dgm:bulletEnabled val="1"/>
        </dgm:presLayoutVars>
      </dgm:prSet>
      <dgm:spPr/>
    </dgm:pt>
    <dgm:pt modelId="{2DABAB08-EBBF-4CC0-95C6-0E573E45230F}" type="pres">
      <dgm:prSet presAssocID="{2089A730-2782-4660-B6FB-99E47478425B}" presName="dummy" presStyleCnt="0"/>
      <dgm:spPr/>
    </dgm:pt>
    <dgm:pt modelId="{9BE3ABAB-0368-43FB-91D6-FDA2988870C9}" type="pres">
      <dgm:prSet presAssocID="{F634C158-680D-4688-B656-BD23E446B872}" presName="sibTrans" presStyleLbl="sibTrans2D1" presStyleIdx="1" presStyleCnt="4"/>
      <dgm:spPr/>
    </dgm:pt>
    <dgm:pt modelId="{BBAE3CC3-6D68-436C-8C62-BA04503504E2}" type="pres">
      <dgm:prSet presAssocID="{A75E6620-97DA-455A-B9B9-B912985FC544}" presName="node" presStyleLbl="node1" presStyleIdx="2" presStyleCnt="4">
        <dgm:presLayoutVars>
          <dgm:bulletEnabled val="1"/>
        </dgm:presLayoutVars>
      </dgm:prSet>
      <dgm:spPr/>
    </dgm:pt>
    <dgm:pt modelId="{4CD6D51E-F237-4AF3-AA04-3A7519CD334D}" type="pres">
      <dgm:prSet presAssocID="{A75E6620-97DA-455A-B9B9-B912985FC544}" presName="dummy" presStyleCnt="0"/>
      <dgm:spPr/>
    </dgm:pt>
    <dgm:pt modelId="{C20E3B75-C96C-4F8C-9CF9-598D09618CA8}" type="pres">
      <dgm:prSet presAssocID="{1B610401-85E8-4993-8C9F-675B486654D4}" presName="sibTrans" presStyleLbl="sibTrans2D1" presStyleIdx="2" presStyleCnt="4"/>
      <dgm:spPr/>
    </dgm:pt>
    <dgm:pt modelId="{9130A8CF-4E40-456A-99BF-E4BE70606AB9}" type="pres">
      <dgm:prSet presAssocID="{DD2EEA83-44B8-4D2B-A6EC-A8B2022EB6F5}" presName="node" presStyleLbl="node1" presStyleIdx="3" presStyleCnt="4">
        <dgm:presLayoutVars>
          <dgm:bulletEnabled val="1"/>
        </dgm:presLayoutVars>
      </dgm:prSet>
      <dgm:spPr/>
    </dgm:pt>
    <dgm:pt modelId="{557633FD-E68C-489B-854B-1AC375DB5CD7}" type="pres">
      <dgm:prSet presAssocID="{DD2EEA83-44B8-4D2B-A6EC-A8B2022EB6F5}" presName="dummy" presStyleCnt="0"/>
      <dgm:spPr/>
    </dgm:pt>
    <dgm:pt modelId="{5BB1FD45-25D9-4C78-86AE-3B8A20BF30E6}" type="pres">
      <dgm:prSet presAssocID="{41C0A239-C778-4C86-9BBC-69F9123D2E15}" presName="sibTrans" presStyleLbl="sibTrans2D1" presStyleIdx="3" presStyleCnt="4"/>
      <dgm:spPr/>
    </dgm:pt>
  </dgm:ptLst>
  <dgm:cxnLst>
    <dgm:cxn modelId="{59E25341-F9A0-4BFB-8D6C-A5F021652071}" srcId="{40376989-E9DE-4A9D-93FA-E3BB3DA9268C}" destId="{DD2EEA83-44B8-4D2B-A6EC-A8B2022EB6F5}" srcOrd="3" destOrd="0" parTransId="{5C11A5D6-CF70-4C15-B895-7B20E1C713EF}" sibTransId="{41C0A239-C778-4C86-9BBC-69F9123D2E15}"/>
    <dgm:cxn modelId="{99709F41-2963-4BFB-82A7-8EAF07658086}" srcId="{50748D97-1FE7-40BE-8970-2CDE6D751FDC}" destId="{40376989-E9DE-4A9D-93FA-E3BB3DA9268C}" srcOrd="0" destOrd="0" parTransId="{35ABECA8-1720-4A46-BE97-EBF163087507}" sibTransId="{5A99E807-47FB-4819-A7DB-53466F9F4BBF}"/>
    <dgm:cxn modelId="{30389E45-B3A6-4871-9540-720833C3FCF1}" type="presOf" srcId="{40376989-E9DE-4A9D-93FA-E3BB3DA9268C}" destId="{9B3FFA4F-0570-4E4B-8D96-945106174B92}" srcOrd="0" destOrd="0" presId="urn:microsoft.com/office/officeart/2005/8/layout/radial6"/>
    <dgm:cxn modelId="{064C1346-9980-481A-92F2-D1B98565140C}" type="presOf" srcId="{2089A730-2782-4660-B6FB-99E47478425B}" destId="{D6E21FBF-44DF-4F1A-B336-3969DE4063D3}" srcOrd="0" destOrd="0" presId="urn:microsoft.com/office/officeart/2005/8/layout/radial6"/>
    <dgm:cxn modelId="{FE8D054A-535E-49DE-A5F2-1270C6C09A8B}" type="presOf" srcId="{1B610401-85E8-4993-8C9F-675B486654D4}" destId="{C20E3B75-C96C-4F8C-9CF9-598D09618CA8}" srcOrd="0" destOrd="0" presId="urn:microsoft.com/office/officeart/2005/8/layout/radial6"/>
    <dgm:cxn modelId="{85916E4A-C295-4F4E-A29F-BAF7F6946139}" type="presOf" srcId="{A75E6620-97DA-455A-B9B9-B912985FC544}" destId="{BBAE3CC3-6D68-436C-8C62-BA04503504E2}" srcOrd="0" destOrd="0" presId="urn:microsoft.com/office/officeart/2005/8/layout/radial6"/>
    <dgm:cxn modelId="{E5519050-4030-4C1F-9316-976E9EE6DD0F}" type="presOf" srcId="{50748D97-1FE7-40BE-8970-2CDE6D751FDC}" destId="{28E11134-6A75-4DCF-90A0-DF87FA828652}" srcOrd="0" destOrd="0" presId="urn:microsoft.com/office/officeart/2005/8/layout/radial6"/>
    <dgm:cxn modelId="{43CA6C80-F2F8-4B29-BC96-8F1207792240}" type="presOf" srcId="{79DEF93F-534F-4333-81B8-C96C5178EF44}" destId="{4166E199-4C42-4698-8E25-A313BC4DAA8A}" srcOrd="0" destOrd="0" presId="urn:microsoft.com/office/officeart/2005/8/layout/radial6"/>
    <dgm:cxn modelId="{D6581D94-1379-4F17-8030-671A436EFFF3}" srcId="{40376989-E9DE-4A9D-93FA-E3BB3DA9268C}" destId="{79DEF93F-534F-4333-81B8-C96C5178EF44}" srcOrd="0" destOrd="0" parTransId="{8F016105-5E43-49EF-9AC7-283B501742B0}" sibTransId="{2439AF80-CCB5-4A12-9A67-9C1692EC2381}"/>
    <dgm:cxn modelId="{97A181A3-F68D-4582-8FF6-CB460660653E}" srcId="{40376989-E9DE-4A9D-93FA-E3BB3DA9268C}" destId="{2089A730-2782-4660-B6FB-99E47478425B}" srcOrd="1" destOrd="0" parTransId="{A010A4A6-366A-486B-AA2D-C792F77FBE02}" sibTransId="{F634C158-680D-4688-B656-BD23E446B872}"/>
    <dgm:cxn modelId="{4637B7B6-B141-4FE2-B705-F18CC75791AE}" type="presOf" srcId="{2439AF80-CCB5-4A12-9A67-9C1692EC2381}" destId="{5F9B2BB3-2B13-4E75-BDD7-D0F42A412432}" srcOrd="0" destOrd="0" presId="urn:microsoft.com/office/officeart/2005/8/layout/radial6"/>
    <dgm:cxn modelId="{F404F4BE-47D4-439A-8880-1405E62DB12D}" type="presOf" srcId="{41C0A239-C778-4C86-9BBC-69F9123D2E15}" destId="{5BB1FD45-25D9-4C78-86AE-3B8A20BF30E6}" srcOrd="0" destOrd="0" presId="urn:microsoft.com/office/officeart/2005/8/layout/radial6"/>
    <dgm:cxn modelId="{0CA693E0-3536-4FDD-BBE5-A91911CF32A0}" type="presOf" srcId="{DD2EEA83-44B8-4D2B-A6EC-A8B2022EB6F5}" destId="{9130A8CF-4E40-456A-99BF-E4BE70606AB9}" srcOrd="0" destOrd="0" presId="urn:microsoft.com/office/officeart/2005/8/layout/radial6"/>
    <dgm:cxn modelId="{8BF7ABEF-85E8-4563-B6B9-230E192B7F9B}" type="presOf" srcId="{F634C158-680D-4688-B656-BD23E446B872}" destId="{9BE3ABAB-0368-43FB-91D6-FDA2988870C9}" srcOrd="0" destOrd="0" presId="urn:microsoft.com/office/officeart/2005/8/layout/radial6"/>
    <dgm:cxn modelId="{66147BF8-AED2-4224-95FB-C57090186D6E}" srcId="{40376989-E9DE-4A9D-93FA-E3BB3DA9268C}" destId="{A75E6620-97DA-455A-B9B9-B912985FC544}" srcOrd="2" destOrd="0" parTransId="{506D8970-1C20-4D10-9038-C6340F82DD8C}" sibTransId="{1B610401-85E8-4993-8C9F-675B486654D4}"/>
    <dgm:cxn modelId="{2008E25B-5C71-4A91-866B-1F336B927C29}" type="presParOf" srcId="{28E11134-6A75-4DCF-90A0-DF87FA828652}" destId="{9B3FFA4F-0570-4E4B-8D96-945106174B92}" srcOrd="0" destOrd="0" presId="urn:microsoft.com/office/officeart/2005/8/layout/radial6"/>
    <dgm:cxn modelId="{866814D4-6D2D-4710-A421-FEC8C3C1AF84}" type="presParOf" srcId="{28E11134-6A75-4DCF-90A0-DF87FA828652}" destId="{4166E199-4C42-4698-8E25-A313BC4DAA8A}" srcOrd="1" destOrd="0" presId="urn:microsoft.com/office/officeart/2005/8/layout/radial6"/>
    <dgm:cxn modelId="{E7C36C06-328E-476F-8F0F-B46582A0D9AB}" type="presParOf" srcId="{28E11134-6A75-4DCF-90A0-DF87FA828652}" destId="{A7C70028-C027-4927-AE1A-41F50894BBFD}" srcOrd="2" destOrd="0" presId="urn:microsoft.com/office/officeart/2005/8/layout/radial6"/>
    <dgm:cxn modelId="{9E1AD77C-2B5E-4764-8E4B-800DBAE3AE59}" type="presParOf" srcId="{28E11134-6A75-4DCF-90A0-DF87FA828652}" destId="{5F9B2BB3-2B13-4E75-BDD7-D0F42A412432}" srcOrd="3" destOrd="0" presId="urn:microsoft.com/office/officeart/2005/8/layout/radial6"/>
    <dgm:cxn modelId="{BF197C3C-2B2F-4326-B831-16F110AF749D}" type="presParOf" srcId="{28E11134-6A75-4DCF-90A0-DF87FA828652}" destId="{D6E21FBF-44DF-4F1A-B336-3969DE4063D3}" srcOrd="4" destOrd="0" presId="urn:microsoft.com/office/officeart/2005/8/layout/radial6"/>
    <dgm:cxn modelId="{60FDCDC8-B855-4CC6-BCB4-A612718D27B4}" type="presParOf" srcId="{28E11134-6A75-4DCF-90A0-DF87FA828652}" destId="{2DABAB08-EBBF-4CC0-95C6-0E573E45230F}" srcOrd="5" destOrd="0" presId="urn:microsoft.com/office/officeart/2005/8/layout/radial6"/>
    <dgm:cxn modelId="{32744AA1-A9CB-4278-8B46-6C51646A9CF7}" type="presParOf" srcId="{28E11134-6A75-4DCF-90A0-DF87FA828652}" destId="{9BE3ABAB-0368-43FB-91D6-FDA2988870C9}" srcOrd="6" destOrd="0" presId="urn:microsoft.com/office/officeart/2005/8/layout/radial6"/>
    <dgm:cxn modelId="{56789E97-EADD-4230-9A3A-D9193BA38CE7}" type="presParOf" srcId="{28E11134-6A75-4DCF-90A0-DF87FA828652}" destId="{BBAE3CC3-6D68-436C-8C62-BA04503504E2}" srcOrd="7" destOrd="0" presId="urn:microsoft.com/office/officeart/2005/8/layout/radial6"/>
    <dgm:cxn modelId="{6CC65E9A-3B34-496C-B8F7-0F1C701CE15C}" type="presParOf" srcId="{28E11134-6A75-4DCF-90A0-DF87FA828652}" destId="{4CD6D51E-F237-4AF3-AA04-3A7519CD334D}" srcOrd="8" destOrd="0" presId="urn:microsoft.com/office/officeart/2005/8/layout/radial6"/>
    <dgm:cxn modelId="{BF5C4651-8E77-43FC-BEBB-0F120A78CB7D}" type="presParOf" srcId="{28E11134-6A75-4DCF-90A0-DF87FA828652}" destId="{C20E3B75-C96C-4F8C-9CF9-598D09618CA8}" srcOrd="9" destOrd="0" presId="urn:microsoft.com/office/officeart/2005/8/layout/radial6"/>
    <dgm:cxn modelId="{31519482-CB94-4572-BBC8-6D289DA99008}" type="presParOf" srcId="{28E11134-6A75-4DCF-90A0-DF87FA828652}" destId="{9130A8CF-4E40-456A-99BF-E4BE70606AB9}" srcOrd="10" destOrd="0" presId="urn:microsoft.com/office/officeart/2005/8/layout/radial6"/>
    <dgm:cxn modelId="{813B845D-867D-4FA2-8C5B-3EF643C53697}" type="presParOf" srcId="{28E11134-6A75-4DCF-90A0-DF87FA828652}" destId="{557633FD-E68C-489B-854B-1AC375DB5CD7}" srcOrd="11" destOrd="0" presId="urn:microsoft.com/office/officeart/2005/8/layout/radial6"/>
    <dgm:cxn modelId="{B86524A0-23B4-4383-85B1-9B0CEE5A2F62}" type="presParOf" srcId="{28E11134-6A75-4DCF-90A0-DF87FA828652}" destId="{5BB1FD45-25D9-4C78-86AE-3B8A20BF30E6}" srcOrd="12" destOrd="0" presId="urn:microsoft.com/office/officeart/2005/8/layout/radial6"/>
  </dgm:cxnLst>
  <dgm:bg/>
  <dgm:whole/>
  <dgm:extLst>
    <a:ext uri="http://schemas.microsoft.com/office/drawing/2008/diagram">
      <dsp:dataModelExt xmlns:dsp="http://schemas.microsoft.com/office/drawing/2008/diagram" relId="rId23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50748D97-1FE7-40BE-8970-2CDE6D751FDC}" type="doc">
      <dgm:prSet loTypeId="urn:microsoft.com/office/officeart/2005/8/layout/radial6" loCatId="cycle" qsTypeId="urn:microsoft.com/office/officeart/2005/8/quickstyle/simple1" qsCatId="simple" csTypeId="urn:microsoft.com/office/officeart/2005/8/colors/colorful3" csCatId="colorful" phldr="1"/>
      <dgm:spPr/>
      <dgm:t>
        <a:bodyPr/>
        <a:lstStyle/>
        <a:p>
          <a:endParaRPr lang="en-GB"/>
        </a:p>
      </dgm:t>
    </dgm:pt>
    <dgm:pt modelId="{40376989-E9DE-4A9D-93FA-E3BB3DA9268C}">
      <dgm:prSet phldrT="[Text]"/>
      <dgm:spPr/>
      <dgm:t>
        <a:bodyPr/>
        <a:lstStyle/>
        <a:p>
          <a:r>
            <a:rPr lang="en-GB" b="1"/>
            <a:t>Financial Statements</a:t>
          </a:r>
        </a:p>
      </dgm:t>
    </dgm:pt>
    <dgm:pt modelId="{35ABECA8-1720-4A46-BE97-EBF163087507}" type="parTrans" cxnId="{99709F41-2963-4BFB-82A7-8EAF07658086}">
      <dgm:prSet/>
      <dgm:spPr/>
      <dgm:t>
        <a:bodyPr/>
        <a:lstStyle/>
        <a:p>
          <a:endParaRPr lang="en-GB" b="1"/>
        </a:p>
      </dgm:t>
    </dgm:pt>
    <dgm:pt modelId="{5A99E807-47FB-4819-A7DB-53466F9F4BBF}" type="sibTrans" cxnId="{99709F41-2963-4BFB-82A7-8EAF07658086}">
      <dgm:prSet/>
      <dgm:spPr/>
      <dgm:t>
        <a:bodyPr/>
        <a:lstStyle/>
        <a:p>
          <a:endParaRPr lang="en-GB" b="1"/>
        </a:p>
      </dgm:t>
    </dgm:pt>
    <dgm:pt modelId="{79DEF93F-534F-4333-81B8-C96C5178EF44}">
      <dgm:prSet phldrT="[Text]"/>
      <dgm:spPr/>
      <dgm:t>
        <a:bodyPr/>
        <a:lstStyle/>
        <a:p>
          <a:r>
            <a:rPr lang="en-GB" b="1"/>
            <a:t>P&amp;L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8F016105-5E43-49EF-9AC7-283B501742B0}" type="parTrans" cxnId="{D6581D94-1379-4F17-8030-671A436EFFF3}">
      <dgm:prSet/>
      <dgm:spPr/>
      <dgm:t>
        <a:bodyPr/>
        <a:lstStyle/>
        <a:p>
          <a:endParaRPr lang="en-GB" b="1"/>
        </a:p>
      </dgm:t>
    </dgm:pt>
    <dgm:pt modelId="{2439AF80-CCB5-4A12-9A67-9C1692EC2381}" type="sibTrans" cxnId="{D6581D94-1379-4F17-8030-671A436EFFF3}">
      <dgm:prSet/>
      <dgm:spPr/>
      <dgm:t>
        <a:bodyPr/>
        <a:lstStyle/>
        <a:p>
          <a:endParaRPr lang="en-GB" b="1"/>
        </a:p>
      </dgm:t>
    </dgm:pt>
    <dgm:pt modelId="{2089A730-2782-4660-B6FB-99E47478425B}">
      <dgm:prSet phldrT="[Text]"/>
      <dgm:spPr/>
      <dgm:t>
        <a:bodyPr/>
        <a:lstStyle/>
        <a:p>
          <a:r>
            <a:rPr lang="en-GB" b="1"/>
            <a:t>Cash Flows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A010A4A6-366A-486B-AA2D-C792F77FBE02}" type="parTrans" cxnId="{97A181A3-F68D-4582-8FF6-CB460660653E}">
      <dgm:prSet/>
      <dgm:spPr/>
      <dgm:t>
        <a:bodyPr/>
        <a:lstStyle/>
        <a:p>
          <a:endParaRPr lang="en-GB" b="1"/>
        </a:p>
      </dgm:t>
    </dgm:pt>
    <dgm:pt modelId="{F634C158-680D-4688-B656-BD23E446B872}" type="sibTrans" cxnId="{97A181A3-F68D-4582-8FF6-CB460660653E}">
      <dgm:prSet/>
      <dgm:spPr/>
      <dgm:t>
        <a:bodyPr/>
        <a:lstStyle/>
        <a:p>
          <a:endParaRPr lang="en-GB" b="1"/>
        </a:p>
      </dgm:t>
    </dgm:pt>
    <dgm:pt modelId="{2E7C08E3-7F66-4F18-A339-8416648BF9E5}">
      <dgm:prSet phldrT="[Text]"/>
      <dgm:spPr/>
      <dgm:t>
        <a:bodyPr/>
        <a:lstStyle/>
        <a:p>
          <a:r>
            <a:rPr lang="en-GB" b="1"/>
            <a:t>Balance Sheet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98426508-A2EB-4E17-8EFE-867740FA1532}" type="parTrans" cxnId="{1C53E378-7FB5-40DD-9BBB-B2DFDC24111D}">
      <dgm:prSet/>
      <dgm:spPr/>
      <dgm:t>
        <a:bodyPr/>
        <a:lstStyle/>
        <a:p>
          <a:endParaRPr lang="en-GB"/>
        </a:p>
      </dgm:t>
    </dgm:pt>
    <dgm:pt modelId="{749C6B84-FE21-4C9E-B540-27B1F472497A}" type="sibTrans" cxnId="{1C53E378-7FB5-40DD-9BBB-B2DFDC24111D}">
      <dgm:prSet/>
      <dgm:spPr/>
      <dgm:t>
        <a:bodyPr/>
        <a:lstStyle/>
        <a:p>
          <a:endParaRPr lang="en-GB"/>
        </a:p>
      </dgm:t>
    </dgm:pt>
    <dgm:pt modelId="{E4F6831B-A237-48CE-9F4B-BCDDB665CCB3}">
      <dgm:prSet phldrT="[Text]"/>
      <dgm:spPr/>
      <dgm:t>
        <a:bodyPr/>
        <a:lstStyle/>
        <a:p>
          <a:r>
            <a:rPr lang="en-GB" b="1"/>
            <a:t>Breakeven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C78F0FA8-951F-40D6-A1F8-477E8A0E807B}" type="parTrans" cxnId="{E8978F28-E314-4363-888F-8E8991F58212}">
      <dgm:prSet/>
      <dgm:spPr/>
      <dgm:t>
        <a:bodyPr/>
        <a:lstStyle/>
        <a:p>
          <a:endParaRPr lang="en-GB"/>
        </a:p>
      </dgm:t>
    </dgm:pt>
    <dgm:pt modelId="{3412062D-4BFF-4FAF-8186-C1E45111BCCD}" type="sibTrans" cxnId="{E8978F28-E314-4363-888F-8E8991F58212}">
      <dgm:prSet/>
      <dgm:spPr/>
      <dgm:t>
        <a:bodyPr/>
        <a:lstStyle/>
        <a:p>
          <a:endParaRPr lang="en-GB"/>
        </a:p>
      </dgm:t>
    </dgm:pt>
    <dgm:pt modelId="{28E11134-6A75-4DCF-90A0-DF87FA828652}" type="pres">
      <dgm:prSet presAssocID="{50748D97-1FE7-40BE-8970-2CDE6D751FDC}" presName="Name0" presStyleCnt="0">
        <dgm:presLayoutVars>
          <dgm:chMax val="1"/>
          <dgm:dir/>
          <dgm:animLvl val="ctr"/>
          <dgm:resizeHandles val="exact"/>
        </dgm:presLayoutVars>
      </dgm:prSet>
      <dgm:spPr/>
    </dgm:pt>
    <dgm:pt modelId="{9B3FFA4F-0570-4E4B-8D96-945106174B92}" type="pres">
      <dgm:prSet presAssocID="{40376989-E9DE-4A9D-93FA-E3BB3DA9268C}" presName="centerShape" presStyleLbl="node0" presStyleIdx="0" presStyleCnt="1"/>
      <dgm:spPr/>
    </dgm:pt>
    <dgm:pt modelId="{4166E199-4C42-4698-8E25-A313BC4DAA8A}" type="pres">
      <dgm:prSet presAssocID="{79DEF93F-534F-4333-81B8-C96C5178EF44}" presName="node" presStyleLbl="node1" presStyleIdx="0" presStyleCnt="4">
        <dgm:presLayoutVars>
          <dgm:bulletEnabled val="1"/>
        </dgm:presLayoutVars>
      </dgm:prSet>
      <dgm:spPr/>
    </dgm:pt>
    <dgm:pt modelId="{A7C70028-C027-4927-AE1A-41F50894BBFD}" type="pres">
      <dgm:prSet presAssocID="{79DEF93F-534F-4333-81B8-C96C5178EF44}" presName="dummy" presStyleCnt="0"/>
      <dgm:spPr/>
    </dgm:pt>
    <dgm:pt modelId="{5F9B2BB3-2B13-4E75-BDD7-D0F42A412432}" type="pres">
      <dgm:prSet presAssocID="{2439AF80-CCB5-4A12-9A67-9C1692EC2381}" presName="sibTrans" presStyleLbl="sibTrans2D1" presStyleIdx="0" presStyleCnt="4"/>
      <dgm:spPr/>
    </dgm:pt>
    <dgm:pt modelId="{D6E21FBF-44DF-4F1A-B336-3969DE4063D3}" type="pres">
      <dgm:prSet presAssocID="{2089A730-2782-4660-B6FB-99E47478425B}" presName="node" presStyleLbl="node1" presStyleIdx="1" presStyleCnt="4">
        <dgm:presLayoutVars>
          <dgm:bulletEnabled val="1"/>
        </dgm:presLayoutVars>
      </dgm:prSet>
      <dgm:spPr/>
    </dgm:pt>
    <dgm:pt modelId="{2DABAB08-EBBF-4CC0-95C6-0E573E45230F}" type="pres">
      <dgm:prSet presAssocID="{2089A730-2782-4660-B6FB-99E47478425B}" presName="dummy" presStyleCnt="0"/>
      <dgm:spPr/>
    </dgm:pt>
    <dgm:pt modelId="{9BE3ABAB-0368-43FB-91D6-FDA2988870C9}" type="pres">
      <dgm:prSet presAssocID="{F634C158-680D-4688-B656-BD23E446B872}" presName="sibTrans" presStyleLbl="sibTrans2D1" presStyleIdx="1" presStyleCnt="4"/>
      <dgm:spPr/>
    </dgm:pt>
    <dgm:pt modelId="{BE9EC546-69C6-4A0C-9927-F68F197C2288}" type="pres">
      <dgm:prSet presAssocID="{2E7C08E3-7F66-4F18-A339-8416648BF9E5}" presName="node" presStyleLbl="node1" presStyleIdx="2" presStyleCnt="4">
        <dgm:presLayoutVars>
          <dgm:bulletEnabled val="1"/>
        </dgm:presLayoutVars>
      </dgm:prSet>
      <dgm:spPr/>
    </dgm:pt>
    <dgm:pt modelId="{6FD776BB-BA25-44F8-8701-909C3E0F33A1}" type="pres">
      <dgm:prSet presAssocID="{2E7C08E3-7F66-4F18-A339-8416648BF9E5}" presName="dummy" presStyleCnt="0"/>
      <dgm:spPr/>
    </dgm:pt>
    <dgm:pt modelId="{46E8F7BE-055D-44B4-821F-0ED763BD1068}" type="pres">
      <dgm:prSet presAssocID="{749C6B84-FE21-4C9E-B540-27B1F472497A}" presName="sibTrans" presStyleLbl="sibTrans2D1" presStyleIdx="2" presStyleCnt="4"/>
      <dgm:spPr/>
    </dgm:pt>
    <dgm:pt modelId="{219FA4AB-90A7-4D7A-A18C-958CCEBE66C4}" type="pres">
      <dgm:prSet presAssocID="{E4F6831B-A237-48CE-9F4B-BCDDB665CCB3}" presName="node" presStyleLbl="node1" presStyleIdx="3" presStyleCnt="4">
        <dgm:presLayoutVars>
          <dgm:bulletEnabled val="1"/>
        </dgm:presLayoutVars>
      </dgm:prSet>
      <dgm:spPr/>
    </dgm:pt>
    <dgm:pt modelId="{1324E0CE-90B7-4009-B70A-E9E215F033B3}" type="pres">
      <dgm:prSet presAssocID="{E4F6831B-A237-48CE-9F4B-BCDDB665CCB3}" presName="dummy" presStyleCnt="0"/>
      <dgm:spPr/>
    </dgm:pt>
    <dgm:pt modelId="{DDE48313-12A0-4E3F-9839-4B45153DA1D6}" type="pres">
      <dgm:prSet presAssocID="{3412062D-4BFF-4FAF-8186-C1E45111BCCD}" presName="sibTrans" presStyleLbl="sibTrans2D1" presStyleIdx="3" presStyleCnt="4"/>
      <dgm:spPr/>
    </dgm:pt>
  </dgm:ptLst>
  <dgm:cxnLst>
    <dgm:cxn modelId="{E8978F28-E314-4363-888F-8E8991F58212}" srcId="{40376989-E9DE-4A9D-93FA-E3BB3DA9268C}" destId="{E4F6831B-A237-48CE-9F4B-BCDDB665CCB3}" srcOrd="3" destOrd="0" parTransId="{C78F0FA8-951F-40D6-A1F8-477E8A0E807B}" sibTransId="{3412062D-4BFF-4FAF-8186-C1E45111BCCD}"/>
    <dgm:cxn modelId="{99709F41-2963-4BFB-82A7-8EAF07658086}" srcId="{50748D97-1FE7-40BE-8970-2CDE6D751FDC}" destId="{40376989-E9DE-4A9D-93FA-E3BB3DA9268C}" srcOrd="0" destOrd="0" parTransId="{35ABECA8-1720-4A46-BE97-EBF163087507}" sibTransId="{5A99E807-47FB-4819-A7DB-53466F9F4BBF}"/>
    <dgm:cxn modelId="{30389E45-B3A6-4871-9540-720833C3FCF1}" type="presOf" srcId="{40376989-E9DE-4A9D-93FA-E3BB3DA9268C}" destId="{9B3FFA4F-0570-4E4B-8D96-945106174B92}" srcOrd="0" destOrd="0" presId="urn:microsoft.com/office/officeart/2005/8/layout/radial6"/>
    <dgm:cxn modelId="{064C1346-9980-481A-92F2-D1B98565140C}" type="presOf" srcId="{2089A730-2782-4660-B6FB-99E47478425B}" destId="{D6E21FBF-44DF-4F1A-B336-3969DE4063D3}" srcOrd="0" destOrd="0" presId="urn:microsoft.com/office/officeart/2005/8/layout/radial6"/>
    <dgm:cxn modelId="{E5519050-4030-4C1F-9316-976E9EE6DD0F}" type="presOf" srcId="{50748D97-1FE7-40BE-8970-2CDE6D751FDC}" destId="{28E11134-6A75-4DCF-90A0-DF87FA828652}" srcOrd="0" destOrd="0" presId="urn:microsoft.com/office/officeart/2005/8/layout/radial6"/>
    <dgm:cxn modelId="{1C53E378-7FB5-40DD-9BBB-B2DFDC24111D}" srcId="{40376989-E9DE-4A9D-93FA-E3BB3DA9268C}" destId="{2E7C08E3-7F66-4F18-A339-8416648BF9E5}" srcOrd="2" destOrd="0" parTransId="{98426508-A2EB-4E17-8EFE-867740FA1532}" sibTransId="{749C6B84-FE21-4C9E-B540-27B1F472497A}"/>
    <dgm:cxn modelId="{43CA6C80-F2F8-4B29-BC96-8F1207792240}" type="presOf" srcId="{79DEF93F-534F-4333-81B8-C96C5178EF44}" destId="{4166E199-4C42-4698-8E25-A313BC4DAA8A}" srcOrd="0" destOrd="0" presId="urn:microsoft.com/office/officeart/2005/8/layout/radial6"/>
    <dgm:cxn modelId="{D944518C-9651-4C8F-AC3B-5649341E06E2}" type="presOf" srcId="{E4F6831B-A237-48CE-9F4B-BCDDB665CCB3}" destId="{219FA4AB-90A7-4D7A-A18C-958CCEBE66C4}" srcOrd="0" destOrd="0" presId="urn:microsoft.com/office/officeart/2005/8/layout/radial6"/>
    <dgm:cxn modelId="{D6581D94-1379-4F17-8030-671A436EFFF3}" srcId="{40376989-E9DE-4A9D-93FA-E3BB3DA9268C}" destId="{79DEF93F-534F-4333-81B8-C96C5178EF44}" srcOrd="0" destOrd="0" parTransId="{8F016105-5E43-49EF-9AC7-283B501742B0}" sibTransId="{2439AF80-CCB5-4A12-9A67-9C1692EC2381}"/>
    <dgm:cxn modelId="{AA60BFA2-DCBF-4732-9448-82B0AD972B15}" type="presOf" srcId="{749C6B84-FE21-4C9E-B540-27B1F472497A}" destId="{46E8F7BE-055D-44B4-821F-0ED763BD1068}" srcOrd="0" destOrd="0" presId="urn:microsoft.com/office/officeart/2005/8/layout/radial6"/>
    <dgm:cxn modelId="{97A181A3-F68D-4582-8FF6-CB460660653E}" srcId="{40376989-E9DE-4A9D-93FA-E3BB3DA9268C}" destId="{2089A730-2782-4660-B6FB-99E47478425B}" srcOrd="1" destOrd="0" parTransId="{A010A4A6-366A-486B-AA2D-C792F77FBE02}" sibTransId="{F634C158-680D-4688-B656-BD23E446B872}"/>
    <dgm:cxn modelId="{4637B7B6-B141-4FE2-B705-F18CC75791AE}" type="presOf" srcId="{2439AF80-CCB5-4A12-9A67-9C1692EC2381}" destId="{5F9B2BB3-2B13-4E75-BDD7-D0F42A412432}" srcOrd="0" destOrd="0" presId="urn:microsoft.com/office/officeart/2005/8/layout/radial6"/>
    <dgm:cxn modelId="{30847DB8-258C-4FC8-85A2-6EA88B281CD1}" type="presOf" srcId="{2E7C08E3-7F66-4F18-A339-8416648BF9E5}" destId="{BE9EC546-69C6-4A0C-9927-F68F197C2288}" srcOrd="0" destOrd="0" presId="urn:microsoft.com/office/officeart/2005/8/layout/radial6"/>
    <dgm:cxn modelId="{AAFAC9C7-3E5F-49CC-BBF1-E5A3CC4B4C37}" type="presOf" srcId="{3412062D-4BFF-4FAF-8186-C1E45111BCCD}" destId="{DDE48313-12A0-4E3F-9839-4B45153DA1D6}" srcOrd="0" destOrd="0" presId="urn:microsoft.com/office/officeart/2005/8/layout/radial6"/>
    <dgm:cxn modelId="{8BF7ABEF-85E8-4563-B6B9-230E192B7F9B}" type="presOf" srcId="{F634C158-680D-4688-B656-BD23E446B872}" destId="{9BE3ABAB-0368-43FB-91D6-FDA2988870C9}" srcOrd="0" destOrd="0" presId="urn:microsoft.com/office/officeart/2005/8/layout/radial6"/>
    <dgm:cxn modelId="{2008E25B-5C71-4A91-866B-1F336B927C29}" type="presParOf" srcId="{28E11134-6A75-4DCF-90A0-DF87FA828652}" destId="{9B3FFA4F-0570-4E4B-8D96-945106174B92}" srcOrd="0" destOrd="0" presId="urn:microsoft.com/office/officeart/2005/8/layout/radial6"/>
    <dgm:cxn modelId="{866814D4-6D2D-4710-A421-FEC8C3C1AF84}" type="presParOf" srcId="{28E11134-6A75-4DCF-90A0-DF87FA828652}" destId="{4166E199-4C42-4698-8E25-A313BC4DAA8A}" srcOrd="1" destOrd="0" presId="urn:microsoft.com/office/officeart/2005/8/layout/radial6"/>
    <dgm:cxn modelId="{E7C36C06-328E-476F-8F0F-B46582A0D9AB}" type="presParOf" srcId="{28E11134-6A75-4DCF-90A0-DF87FA828652}" destId="{A7C70028-C027-4927-AE1A-41F50894BBFD}" srcOrd="2" destOrd="0" presId="urn:microsoft.com/office/officeart/2005/8/layout/radial6"/>
    <dgm:cxn modelId="{9E1AD77C-2B5E-4764-8E4B-800DBAE3AE59}" type="presParOf" srcId="{28E11134-6A75-4DCF-90A0-DF87FA828652}" destId="{5F9B2BB3-2B13-4E75-BDD7-D0F42A412432}" srcOrd="3" destOrd="0" presId="urn:microsoft.com/office/officeart/2005/8/layout/radial6"/>
    <dgm:cxn modelId="{BF197C3C-2B2F-4326-B831-16F110AF749D}" type="presParOf" srcId="{28E11134-6A75-4DCF-90A0-DF87FA828652}" destId="{D6E21FBF-44DF-4F1A-B336-3969DE4063D3}" srcOrd="4" destOrd="0" presId="urn:microsoft.com/office/officeart/2005/8/layout/radial6"/>
    <dgm:cxn modelId="{60FDCDC8-B855-4CC6-BCB4-A612718D27B4}" type="presParOf" srcId="{28E11134-6A75-4DCF-90A0-DF87FA828652}" destId="{2DABAB08-EBBF-4CC0-95C6-0E573E45230F}" srcOrd="5" destOrd="0" presId="urn:microsoft.com/office/officeart/2005/8/layout/radial6"/>
    <dgm:cxn modelId="{32744AA1-A9CB-4278-8B46-6C51646A9CF7}" type="presParOf" srcId="{28E11134-6A75-4DCF-90A0-DF87FA828652}" destId="{9BE3ABAB-0368-43FB-91D6-FDA2988870C9}" srcOrd="6" destOrd="0" presId="urn:microsoft.com/office/officeart/2005/8/layout/radial6"/>
    <dgm:cxn modelId="{B3B12FF8-FC27-4438-8209-789021DF33FE}" type="presParOf" srcId="{28E11134-6A75-4DCF-90A0-DF87FA828652}" destId="{BE9EC546-69C6-4A0C-9927-F68F197C2288}" srcOrd="7" destOrd="0" presId="urn:microsoft.com/office/officeart/2005/8/layout/radial6"/>
    <dgm:cxn modelId="{43C05071-8149-4562-9706-B28D5FC3EDA2}" type="presParOf" srcId="{28E11134-6A75-4DCF-90A0-DF87FA828652}" destId="{6FD776BB-BA25-44F8-8701-909C3E0F33A1}" srcOrd="8" destOrd="0" presId="urn:microsoft.com/office/officeart/2005/8/layout/radial6"/>
    <dgm:cxn modelId="{AD021216-5C5C-4671-B1C7-91D9A5FDFBDF}" type="presParOf" srcId="{28E11134-6A75-4DCF-90A0-DF87FA828652}" destId="{46E8F7BE-055D-44B4-821F-0ED763BD1068}" srcOrd="9" destOrd="0" presId="urn:microsoft.com/office/officeart/2005/8/layout/radial6"/>
    <dgm:cxn modelId="{A00C8F38-37E6-487D-879E-00ADBA648673}" type="presParOf" srcId="{28E11134-6A75-4DCF-90A0-DF87FA828652}" destId="{219FA4AB-90A7-4D7A-A18C-958CCEBE66C4}" srcOrd="10" destOrd="0" presId="urn:microsoft.com/office/officeart/2005/8/layout/radial6"/>
    <dgm:cxn modelId="{A83EBC86-E195-4649-80FA-FECB7C48CEBC}" type="presParOf" srcId="{28E11134-6A75-4DCF-90A0-DF87FA828652}" destId="{1324E0CE-90B7-4009-B70A-E9E215F033B3}" srcOrd="11" destOrd="0" presId="urn:microsoft.com/office/officeart/2005/8/layout/radial6"/>
    <dgm:cxn modelId="{800E1377-8E36-4A6B-A428-2FF1237B9008}" type="presParOf" srcId="{28E11134-6A75-4DCF-90A0-DF87FA828652}" destId="{DDE48313-12A0-4E3F-9839-4B45153DA1D6}" srcOrd="12" destOrd="0" presId="urn:microsoft.com/office/officeart/2005/8/layout/radial6"/>
  </dgm:cxnLst>
  <dgm:bg/>
  <dgm:whole/>
  <dgm:extLst>
    <a:ext uri="http://schemas.microsoft.com/office/drawing/2008/diagram">
      <dsp:dataModelExt xmlns:dsp="http://schemas.microsoft.com/office/drawing/2008/diagram" relId="rId2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BB1FD45-25D9-4C78-86AE-3B8A20BF30E6}">
      <dsp:nvSpPr>
        <dsp:cNvPr id="0" name=""/>
        <dsp:cNvSpPr/>
      </dsp:nvSpPr>
      <dsp:spPr>
        <a:xfrm>
          <a:off x="546182" y="1077817"/>
          <a:ext cx="3638386" cy="3638386"/>
        </a:xfrm>
        <a:prstGeom prst="blockArc">
          <a:avLst>
            <a:gd name="adj1" fmla="val 10800000"/>
            <a:gd name="adj2" fmla="val 16200000"/>
            <a:gd name="adj3" fmla="val 4640"/>
          </a:avLst>
        </a:prstGeom>
        <a:solidFill>
          <a:schemeClr val="accent5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C20E3B75-C96C-4F8C-9CF9-598D09618CA8}">
      <dsp:nvSpPr>
        <dsp:cNvPr id="0" name=""/>
        <dsp:cNvSpPr/>
      </dsp:nvSpPr>
      <dsp:spPr>
        <a:xfrm>
          <a:off x="546182" y="1077817"/>
          <a:ext cx="3638386" cy="3638386"/>
        </a:xfrm>
        <a:prstGeom prst="blockArc">
          <a:avLst>
            <a:gd name="adj1" fmla="val 5400000"/>
            <a:gd name="adj2" fmla="val 10800000"/>
            <a:gd name="adj3" fmla="val 4640"/>
          </a:avLst>
        </a:prstGeom>
        <a:solidFill>
          <a:schemeClr val="accent4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BE3ABAB-0368-43FB-91D6-FDA2988870C9}">
      <dsp:nvSpPr>
        <dsp:cNvPr id="0" name=""/>
        <dsp:cNvSpPr/>
      </dsp:nvSpPr>
      <dsp:spPr>
        <a:xfrm>
          <a:off x="546182" y="1077817"/>
          <a:ext cx="3638386" cy="3638386"/>
        </a:xfrm>
        <a:prstGeom prst="blockArc">
          <a:avLst>
            <a:gd name="adj1" fmla="val 0"/>
            <a:gd name="adj2" fmla="val 5400000"/>
            <a:gd name="adj3" fmla="val 4640"/>
          </a:avLst>
        </a:prstGeom>
        <a:solidFill>
          <a:schemeClr val="accent3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9B2BB3-2B13-4E75-BDD7-D0F42A412432}">
      <dsp:nvSpPr>
        <dsp:cNvPr id="0" name=""/>
        <dsp:cNvSpPr/>
      </dsp:nvSpPr>
      <dsp:spPr>
        <a:xfrm>
          <a:off x="546182" y="1077817"/>
          <a:ext cx="3638386" cy="3638386"/>
        </a:xfrm>
        <a:prstGeom prst="blockArc">
          <a:avLst>
            <a:gd name="adj1" fmla="val 16200000"/>
            <a:gd name="adj2" fmla="val 0"/>
            <a:gd name="adj3" fmla="val 4640"/>
          </a:avLst>
        </a:prstGeom>
        <a:solidFill>
          <a:schemeClr val="accent2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B3FFA4F-0570-4E4B-8D96-945106174B92}">
      <dsp:nvSpPr>
        <dsp:cNvPr id="0" name=""/>
        <dsp:cNvSpPr/>
      </dsp:nvSpPr>
      <dsp:spPr>
        <a:xfrm>
          <a:off x="1528023" y="2059658"/>
          <a:ext cx="1674704" cy="1674704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30480" rIns="30480" bIns="30480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2400" b="1" kern="1200"/>
            <a:t>Revenue</a:t>
          </a:r>
        </a:p>
      </dsp:txBody>
      <dsp:txXfrm>
        <a:off x="1773278" y="2304913"/>
        <a:ext cx="1184194" cy="1184194"/>
      </dsp:txXfrm>
    </dsp:sp>
    <dsp:sp modelId="{4166E199-4C42-4698-8E25-A313BC4DAA8A}">
      <dsp:nvSpPr>
        <dsp:cNvPr id="0" name=""/>
        <dsp:cNvSpPr/>
      </dsp:nvSpPr>
      <dsp:spPr>
        <a:xfrm>
          <a:off x="1779229" y="533873"/>
          <a:ext cx="1172293" cy="1172293"/>
        </a:xfrm>
        <a:prstGeom prst="ellips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30" tIns="24130" rIns="24130" bIns="24130" numCol="1" spcCol="1270" anchor="ctr" anchorCtr="0">
          <a:noAutofit/>
        </a:bodyPr>
        <a:lstStyle/>
        <a:p>
          <a:pPr marL="0" lvl="0" indent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900" b="1" kern="1200"/>
            <a:t>Fuel</a:t>
          </a:r>
        </a:p>
      </dsp:txBody>
      <dsp:txXfrm>
        <a:off x="1950907" y="705551"/>
        <a:ext cx="828937" cy="828937"/>
      </dsp:txXfrm>
    </dsp:sp>
    <dsp:sp modelId="{D6E21FBF-44DF-4F1A-B336-3969DE4063D3}">
      <dsp:nvSpPr>
        <dsp:cNvPr id="0" name=""/>
        <dsp:cNvSpPr/>
      </dsp:nvSpPr>
      <dsp:spPr>
        <a:xfrm>
          <a:off x="3556220" y="2310864"/>
          <a:ext cx="1172293" cy="1172293"/>
        </a:xfrm>
        <a:prstGeom prst="ellipse">
          <a:avLst/>
        </a:prstGeom>
        <a:solidFill>
          <a:schemeClr val="accent3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30" tIns="24130" rIns="24130" bIns="24130" numCol="1" spcCol="1270" anchor="ctr" anchorCtr="0">
          <a:noAutofit/>
        </a:bodyPr>
        <a:lstStyle/>
        <a:p>
          <a:pPr marL="0" lvl="0" indent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900" b="1" kern="1200"/>
            <a:t>Crew</a:t>
          </a:r>
        </a:p>
      </dsp:txBody>
      <dsp:txXfrm>
        <a:off x="3727898" y="2482542"/>
        <a:ext cx="828937" cy="828937"/>
      </dsp:txXfrm>
    </dsp:sp>
    <dsp:sp modelId="{BBAE3CC3-6D68-436C-8C62-BA04503504E2}">
      <dsp:nvSpPr>
        <dsp:cNvPr id="0" name=""/>
        <dsp:cNvSpPr/>
      </dsp:nvSpPr>
      <dsp:spPr>
        <a:xfrm>
          <a:off x="1779229" y="4087855"/>
          <a:ext cx="1172293" cy="1172293"/>
        </a:xfrm>
        <a:prstGeom prst="ellipse">
          <a:avLst/>
        </a:prstGeom>
        <a:solidFill>
          <a:schemeClr val="accent4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30" tIns="24130" rIns="24130" bIns="24130" numCol="1" spcCol="1270" anchor="ctr" anchorCtr="0">
          <a:noAutofit/>
        </a:bodyPr>
        <a:lstStyle/>
        <a:p>
          <a:pPr marL="0" lvl="0" indent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900" b="1" kern="1200"/>
            <a:t>Leasing</a:t>
          </a:r>
        </a:p>
      </dsp:txBody>
      <dsp:txXfrm>
        <a:off x="1950907" y="4259533"/>
        <a:ext cx="828937" cy="828937"/>
      </dsp:txXfrm>
    </dsp:sp>
    <dsp:sp modelId="{9130A8CF-4E40-456A-99BF-E4BE70606AB9}">
      <dsp:nvSpPr>
        <dsp:cNvPr id="0" name=""/>
        <dsp:cNvSpPr/>
      </dsp:nvSpPr>
      <dsp:spPr>
        <a:xfrm>
          <a:off x="2238" y="2310864"/>
          <a:ext cx="1172293" cy="1172293"/>
        </a:xfrm>
        <a:prstGeom prst="ellipse">
          <a:avLst/>
        </a:prstGeom>
        <a:solidFill>
          <a:schemeClr val="accent5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30" tIns="24130" rIns="24130" bIns="24130" numCol="1" spcCol="1270" anchor="ctr" anchorCtr="0">
          <a:noAutofit/>
        </a:bodyPr>
        <a:lstStyle/>
        <a:p>
          <a:pPr marL="0" lvl="0" indent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900" b="1" kern="1200"/>
            <a:t>Other costs</a:t>
          </a:r>
        </a:p>
      </dsp:txBody>
      <dsp:txXfrm>
        <a:off x="173916" y="2482542"/>
        <a:ext cx="828937" cy="828937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DE48313-12A0-4E3F-9839-4B45153DA1D6}">
      <dsp:nvSpPr>
        <dsp:cNvPr id="0" name=""/>
        <dsp:cNvSpPr/>
      </dsp:nvSpPr>
      <dsp:spPr>
        <a:xfrm>
          <a:off x="546182" y="1078523"/>
          <a:ext cx="3638386" cy="3638386"/>
        </a:xfrm>
        <a:prstGeom prst="blockArc">
          <a:avLst>
            <a:gd name="adj1" fmla="val 10800000"/>
            <a:gd name="adj2" fmla="val 16200000"/>
            <a:gd name="adj3" fmla="val 4640"/>
          </a:avLst>
        </a:prstGeom>
        <a:solidFill>
          <a:schemeClr val="accent4">
            <a:hueOff val="9800891"/>
            <a:satOff val="-40777"/>
            <a:lumOff val="9608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6E8F7BE-055D-44B4-821F-0ED763BD1068}">
      <dsp:nvSpPr>
        <dsp:cNvPr id="0" name=""/>
        <dsp:cNvSpPr/>
      </dsp:nvSpPr>
      <dsp:spPr>
        <a:xfrm>
          <a:off x="546182" y="1078523"/>
          <a:ext cx="3638386" cy="3638386"/>
        </a:xfrm>
        <a:prstGeom prst="blockArc">
          <a:avLst>
            <a:gd name="adj1" fmla="val 5400000"/>
            <a:gd name="adj2" fmla="val 10800000"/>
            <a:gd name="adj3" fmla="val 4640"/>
          </a:avLst>
        </a:prstGeom>
        <a:solidFill>
          <a:schemeClr val="accent4">
            <a:hueOff val="6533927"/>
            <a:satOff val="-27185"/>
            <a:lumOff val="6405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BE3ABAB-0368-43FB-91D6-FDA2988870C9}">
      <dsp:nvSpPr>
        <dsp:cNvPr id="0" name=""/>
        <dsp:cNvSpPr/>
      </dsp:nvSpPr>
      <dsp:spPr>
        <a:xfrm>
          <a:off x="546182" y="1078523"/>
          <a:ext cx="3638386" cy="3638386"/>
        </a:xfrm>
        <a:prstGeom prst="blockArc">
          <a:avLst>
            <a:gd name="adj1" fmla="val 0"/>
            <a:gd name="adj2" fmla="val 5400000"/>
            <a:gd name="adj3" fmla="val 4640"/>
          </a:avLst>
        </a:prstGeom>
        <a:solidFill>
          <a:schemeClr val="accent4">
            <a:hueOff val="3266964"/>
            <a:satOff val="-13592"/>
            <a:lumOff val="3203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9B2BB3-2B13-4E75-BDD7-D0F42A412432}">
      <dsp:nvSpPr>
        <dsp:cNvPr id="0" name=""/>
        <dsp:cNvSpPr/>
      </dsp:nvSpPr>
      <dsp:spPr>
        <a:xfrm>
          <a:off x="546182" y="1078523"/>
          <a:ext cx="3638386" cy="3638386"/>
        </a:xfrm>
        <a:prstGeom prst="blockArc">
          <a:avLst>
            <a:gd name="adj1" fmla="val 16200000"/>
            <a:gd name="adj2" fmla="val 0"/>
            <a:gd name="adj3" fmla="val 4640"/>
          </a:avLst>
        </a:prstGeom>
        <a:solidFill>
          <a:schemeClr val="accent4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B3FFA4F-0570-4E4B-8D96-945106174B92}">
      <dsp:nvSpPr>
        <dsp:cNvPr id="0" name=""/>
        <dsp:cNvSpPr/>
      </dsp:nvSpPr>
      <dsp:spPr>
        <a:xfrm>
          <a:off x="1528023" y="2060364"/>
          <a:ext cx="1674704" cy="1674704"/>
        </a:xfrm>
        <a:prstGeom prst="ellipse">
          <a:avLst/>
        </a:prstGeom>
        <a:solidFill>
          <a:schemeClr val="accent3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2200" b="1" kern="1200"/>
            <a:t>Investing &amp; Financing</a:t>
          </a:r>
        </a:p>
      </dsp:txBody>
      <dsp:txXfrm>
        <a:off x="1773278" y="2305619"/>
        <a:ext cx="1184194" cy="1184194"/>
      </dsp:txXfrm>
    </dsp:sp>
    <dsp:sp modelId="{4166E199-4C42-4698-8E25-A313BC4DAA8A}">
      <dsp:nvSpPr>
        <dsp:cNvPr id="0" name=""/>
        <dsp:cNvSpPr/>
      </dsp:nvSpPr>
      <dsp:spPr>
        <a:xfrm>
          <a:off x="1779229" y="534579"/>
          <a:ext cx="1172293" cy="1172293"/>
        </a:xfrm>
        <a:prstGeom prst="ellipse">
          <a:avLst/>
        </a:prstGeom>
        <a:solidFill>
          <a:schemeClr val="accent4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9050" tIns="19050" rIns="19050" bIns="190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500" b="1" kern="1200"/>
            <a:t>CAPEX</a:t>
          </a:r>
        </a:p>
      </dsp:txBody>
      <dsp:txXfrm>
        <a:off x="1950907" y="706257"/>
        <a:ext cx="828937" cy="828937"/>
      </dsp:txXfrm>
    </dsp:sp>
    <dsp:sp modelId="{D6E21FBF-44DF-4F1A-B336-3969DE4063D3}">
      <dsp:nvSpPr>
        <dsp:cNvPr id="0" name=""/>
        <dsp:cNvSpPr/>
      </dsp:nvSpPr>
      <dsp:spPr>
        <a:xfrm>
          <a:off x="3556220" y="2311570"/>
          <a:ext cx="1172293" cy="1172293"/>
        </a:xfrm>
        <a:prstGeom prst="ellipse">
          <a:avLst/>
        </a:prstGeom>
        <a:solidFill>
          <a:schemeClr val="accent4">
            <a:hueOff val="3266964"/>
            <a:satOff val="-13592"/>
            <a:lumOff val="320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9050" tIns="19050" rIns="19050" bIns="190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500" b="1" kern="1200"/>
            <a:t>Financing</a:t>
          </a:r>
        </a:p>
      </dsp:txBody>
      <dsp:txXfrm>
        <a:off x="3727898" y="2483248"/>
        <a:ext cx="828937" cy="828937"/>
      </dsp:txXfrm>
    </dsp:sp>
    <dsp:sp modelId="{BE9EC546-69C6-4A0C-9927-F68F197C2288}">
      <dsp:nvSpPr>
        <dsp:cNvPr id="0" name=""/>
        <dsp:cNvSpPr/>
      </dsp:nvSpPr>
      <dsp:spPr>
        <a:xfrm>
          <a:off x="1779229" y="4088561"/>
          <a:ext cx="1172293" cy="1172293"/>
        </a:xfrm>
        <a:prstGeom prst="ellipse">
          <a:avLst/>
        </a:prstGeom>
        <a:solidFill>
          <a:schemeClr val="accent4">
            <a:hueOff val="6533927"/>
            <a:satOff val="-27185"/>
            <a:lumOff val="6405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9050" tIns="19050" rIns="19050" bIns="190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500" b="1" kern="1200"/>
            <a:t>Working Capital </a:t>
          </a:r>
        </a:p>
      </dsp:txBody>
      <dsp:txXfrm>
        <a:off x="1950907" y="4260239"/>
        <a:ext cx="828937" cy="828937"/>
      </dsp:txXfrm>
    </dsp:sp>
    <dsp:sp modelId="{219FA4AB-90A7-4D7A-A18C-958CCEBE66C4}">
      <dsp:nvSpPr>
        <dsp:cNvPr id="0" name=""/>
        <dsp:cNvSpPr/>
      </dsp:nvSpPr>
      <dsp:spPr>
        <a:xfrm>
          <a:off x="2238" y="2311570"/>
          <a:ext cx="1172293" cy="1172293"/>
        </a:xfrm>
        <a:prstGeom prst="ellipse">
          <a:avLst/>
        </a:prstGeom>
        <a:solidFill>
          <a:schemeClr val="accent4">
            <a:hueOff val="9800891"/>
            <a:satOff val="-40777"/>
            <a:lumOff val="9608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9050" tIns="19050" rIns="19050" bIns="190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500" b="1" kern="1200"/>
            <a:t>Deposits</a:t>
          </a:r>
        </a:p>
      </dsp:txBody>
      <dsp:txXfrm>
        <a:off x="173916" y="2483248"/>
        <a:ext cx="828937" cy="828937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DE48313-12A0-4E3F-9839-4B45153DA1D6}">
      <dsp:nvSpPr>
        <dsp:cNvPr id="0" name=""/>
        <dsp:cNvSpPr/>
      </dsp:nvSpPr>
      <dsp:spPr>
        <a:xfrm>
          <a:off x="548381" y="1071197"/>
          <a:ext cx="3653038" cy="3653038"/>
        </a:xfrm>
        <a:prstGeom prst="blockArc">
          <a:avLst>
            <a:gd name="adj1" fmla="val 10800000"/>
            <a:gd name="adj2" fmla="val 16200000"/>
            <a:gd name="adj3" fmla="val 4640"/>
          </a:avLst>
        </a:prstGeom>
        <a:solidFill>
          <a:schemeClr val="accent3">
            <a:hueOff val="2710599"/>
            <a:satOff val="100000"/>
            <a:lumOff val="-14706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6E8F7BE-055D-44B4-821F-0ED763BD1068}">
      <dsp:nvSpPr>
        <dsp:cNvPr id="0" name=""/>
        <dsp:cNvSpPr/>
      </dsp:nvSpPr>
      <dsp:spPr>
        <a:xfrm>
          <a:off x="548381" y="1071197"/>
          <a:ext cx="3653038" cy="3653038"/>
        </a:xfrm>
        <a:prstGeom prst="blockArc">
          <a:avLst>
            <a:gd name="adj1" fmla="val 5400000"/>
            <a:gd name="adj2" fmla="val 10800000"/>
            <a:gd name="adj3" fmla="val 4640"/>
          </a:avLst>
        </a:prstGeom>
        <a:solidFill>
          <a:schemeClr val="accent3">
            <a:hueOff val="1807066"/>
            <a:satOff val="66667"/>
            <a:lumOff val="-9804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BE3ABAB-0368-43FB-91D6-FDA2988870C9}">
      <dsp:nvSpPr>
        <dsp:cNvPr id="0" name=""/>
        <dsp:cNvSpPr/>
      </dsp:nvSpPr>
      <dsp:spPr>
        <a:xfrm>
          <a:off x="548381" y="1071197"/>
          <a:ext cx="3653038" cy="3653038"/>
        </a:xfrm>
        <a:prstGeom prst="blockArc">
          <a:avLst>
            <a:gd name="adj1" fmla="val 0"/>
            <a:gd name="adj2" fmla="val 5400000"/>
            <a:gd name="adj3" fmla="val 4640"/>
          </a:avLst>
        </a:prstGeom>
        <a:solidFill>
          <a:schemeClr val="accent3">
            <a:hueOff val="903533"/>
            <a:satOff val="33333"/>
            <a:lumOff val="-4902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9B2BB3-2B13-4E75-BDD7-D0F42A412432}">
      <dsp:nvSpPr>
        <dsp:cNvPr id="0" name=""/>
        <dsp:cNvSpPr/>
      </dsp:nvSpPr>
      <dsp:spPr>
        <a:xfrm>
          <a:off x="548381" y="1071197"/>
          <a:ext cx="3653038" cy="3653038"/>
        </a:xfrm>
        <a:prstGeom prst="blockArc">
          <a:avLst>
            <a:gd name="adj1" fmla="val 16200000"/>
            <a:gd name="adj2" fmla="val 0"/>
            <a:gd name="adj3" fmla="val 4640"/>
          </a:avLst>
        </a:prstGeom>
        <a:solidFill>
          <a:schemeClr val="accent3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B3FFA4F-0570-4E4B-8D96-945106174B92}">
      <dsp:nvSpPr>
        <dsp:cNvPr id="0" name=""/>
        <dsp:cNvSpPr/>
      </dsp:nvSpPr>
      <dsp:spPr>
        <a:xfrm>
          <a:off x="1534176" y="2056992"/>
          <a:ext cx="1681448" cy="1681448"/>
        </a:xfrm>
        <a:prstGeom prst="ellips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30" tIns="24130" rIns="24130" bIns="24130" numCol="1" spcCol="1270" anchor="ctr" anchorCtr="0">
          <a:noAutofit/>
        </a:bodyPr>
        <a:lstStyle/>
        <a:p>
          <a:pPr marL="0" lvl="0" indent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900" b="1" kern="1200"/>
            <a:t>Financial Statements</a:t>
          </a:r>
        </a:p>
      </dsp:txBody>
      <dsp:txXfrm>
        <a:off x="1780418" y="2303234"/>
        <a:ext cx="1188964" cy="1188964"/>
      </dsp:txXfrm>
    </dsp:sp>
    <dsp:sp modelId="{4166E199-4C42-4698-8E25-A313BC4DAA8A}">
      <dsp:nvSpPr>
        <dsp:cNvPr id="0" name=""/>
        <dsp:cNvSpPr/>
      </dsp:nvSpPr>
      <dsp:spPr>
        <a:xfrm>
          <a:off x="1786394" y="525063"/>
          <a:ext cx="1177013" cy="1177013"/>
        </a:xfrm>
        <a:prstGeom prst="ellipse">
          <a:avLst/>
        </a:prstGeom>
        <a:solidFill>
          <a:schemeClr val="accent3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400" b="1" kern="1200"/>
            <a:t>P&amp;L</a:t>
          </a:r>
        </a:p>
      </dsp:txBody>
      <dsp:txXfrm>
        <a:off x="1958764" y="697433"/>
        <a:ext cx="832273" cy="832273"/>
      </dsp:txXfrm>
    </dsp:sp>
    <dsp:sp modelId="{D6E21FBF-44DF-4F1A-B336-3969DE4063D3}">
      <dsp:nvSpPr>
        <dsp:cNvPr id="0" name=""/>
        <dsp:cNvSpPr/>
      </dsp:nvSpPr>
      <dsp:spPr>
        <a:xfrm>
          <a:off x="3570540" y="2309210"/>
          <a:ext cx="1177013" cy="1177013"/>
        </a:xfrm>
        <a:prstGeom prst="ellipse">
          <a:avLst/>
        </a:prstGeom>
        <a:solidFill>
          <a:schemeClr val="accent3">
            <a:hueOff val="903533"/>
            <a:satOff val="33333"/>
            <a:lumOff val="-4902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400" b="1" kern="1200"/>
            <a:t>Cash Flows</a:t>
          </a:r>
        </a:p>
      </dsp:txBody>
      <dsp:txXfrm>
        <a:off x="3742910" y="2481580"/>
        <a:ext cx="832273" cy="832273"/>
      </dsp:txXfrm>
    </dsp:sp>
    <dsp:sp modelId="{BE9EC546-69C6-4A0C-9927-F68F197C2288}">
      <dsp:nvSpPr>
        <dsp:cNvPr id="0" name=""/>
        <dsp:cNvSpPr/>
      </dsp:nvSpPr>
      <dsp:spPr>
        <a:xfrm>
          <a:off x="1786394" y="4093356"/>
          <a:ext cx="1177013" cy="1177013"/>
        </a:xfrm>
        <a:prstGeom prst="ellipse">
          <a:avLst/>
        </a:prstGeom>
        <a:solidFill>
          <a:schemeClr val="accent3">
            <a:hueOff val="1807066"/>
            <a:satOff val="66667"/>
            <a:lumOff val="-9804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400" b="1" kern="1200"/>
            <a:t>Balance Sheet</a:t>
          </a:r>
        </a:p>
      </dsp:txBody>
      <dsp:txXfrm>
        <a:off x="1958764" y="4265726"/>
        <a:ext cx="832273" cy="832273"/>
      </dsp:txXfrm>
    </dsp:sp>
    <dsp:sp modelId="{219FA4AB-90A7-4D7A-A18C-958CCEBE66C4}">
      <dsp:nvSpPr>
        <dsp:cNvPr id="0" name=""/>
        <dsp:cNvSpPr/>
      </dsp:nvSpPr>
      <dsp:spPr>
        <a:xfrm>
          <a:off x="2247" y="2309210"/>
          <a:ext cx="1177013" cy="1177013"/>
        </a:xfrm>
        <a:prstGeom prst="ellipse">
          <a:avLst/>
        </a:prstGeom>
        <a:solidFill>
          <a:schemeClr val="accent3">
            <a:hueOff val="2710599"/>
            <a:satOff val="100000"/>
            <a:lumOff val="-14706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400" b="1" kern="1200"/>
            <a:t>Breakeven</a:t>
          </a:r>
        </a:p>
      </dsp:txBody>
      <dsp:txXfrm>
        <a:off x="174617" y="2481580"/>
        <a:ext cx="832273" cy="832273"/>
      </dsp:txXfrm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BB1FD45-25D9-4C78-86AE-3B8A20BF30E6}">
      <dsp:nvSpPr>
        <dsp:cNvPr id="0" name=""/>
        <dsp:cNvSpPr/>
      </dsp:nvSpPr>
      <dsp:spPr>
        <a:xfrm>
          <a:off x="546182" y="1077817"/>
          <a:ext cx="3638386" cy="3638386"/>
        </a:xfrm>
        <a:prstGeom prst="blockArc">
          <a:avLst>
            <a:gd name="adj1" fmla="val 10800000"/>
            <a:gd name="adj2" fmla="val 16200000"/>
            <a:gd name="adj3" fmla="val 4640"/>
          </a:avLst>
        </a:prstGeom>
        <a:solidFill>
          <a:schemeClr val="accent5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C20E3B75-C96C-4F8C-9CF9-598D09618CA8}">
      <dsp:nvSpPr>
        <dsp:cNvPr id="0" name=""/>
        <dsp:cNvSpPr/>
      </dsp:nvSpPr>
      <dsp:spPr>
        <a:xfrm>
          <a:off x="546182" y="1077817"/>
          <a:ext cx="3638386" cy="3638386"/>
        </a:xfrm>
        <a:prstGeom prst="blockArc">
          <a:avLst>
            <a:gd name="adj1" fmla="val 5400000"/>
            <a:gd name="adj2" fmla="val 10800000"/>
            <a:gd name="adj3" fmla="val 4640"/>
          </a:avLst>
        </a:prstGeom>
        <a:solidFill>
          <a:schemeClr val="accent4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BE3ABAB-0368-43FB-91D6-FDA2988870C9}">
      <dsp:nvSpPr>
        <dsp:cNvPr id="0" name=""/>
        <dsp:cNvSpPr/>
      </dsp:nvSpPr>
      <dsp:spPr>
        <a:xfrm>
          <a:off x="546182" y="1077817"/>
          <a:ext cx="3638386" cy="3638386"/>
        </a:xfrm>
        <a:prstGeom prst="blockArc">
          <a:avLst>
            <a:gd name="adj1" fmla="val 0"/>
            <a:gd name="adj2" fmla="val 5400000"/>
            <a:gd name="adj3" fmla="val 4640"/>
          </a:avLst>
        </a:prstGeom>
        <a:solidFill>
          <a:schemeClr val="accent3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9B2BB3-2B13-4E75-BDD7-D0F42A412432}">
      <dsp:nvSpPr>
        <dsp:cNvPr id="0" name=""/>
        <dsp:cNvSpPr/>
      </dsp:nvSpPr>
      <dsp:spPr>
        <a:xfrm>
          <a:off x="546182" y="1077817"/>
          <a:ext cx="3638386" cy="3638386"/>
        </a:xfrm>
        <a:prstGeom prst="blockArc">
          <a:avLst>
            <a:gd name="adj1" fmla="val 16200000"/>
            <a:gd name="adj2" fmla="val 0"/>
            <a:gd name="adj3" fmla="val 4640"/>
          </a:avLst>
        </a:prstGeom>
        <a:solidFill>
          <a:schemeClr val="accent2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B3FFA4F-0570-4E4B-8D96-945106174B92}">
      <dsp:nvSpPr>
        <dsp:cNvPr id="0" name=""/>
        <dsp:cNvSpPr/>
      </dsp:nvSpPr>
      <dsp:spPr>
        <a:xfrm>
          <a:off x="1528023" y="2059658"/>
          <a:ext cx="1674704" cy="1674704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30480" rIns="30480" bIns="30480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2400" b="1" kern="1200"/>
            <a:t>Revenue</a:t>
          </a:r>
        </a:p>
      </dsp:txBody>
      <dsp:txXfrm>
        <a:off x="1773278" y="2304913"/>
        <a:ext cx="1184194" cy="1184194"/>
      </dsp:txXfrm>
    </dsp:sp>
    <dsp:sp modelId="{4166E199-4C42-4698-8E25-A313BC4DAA8A}">
      <dsp:nvSpPr>
        <dsp:cNvPr id="0" name=""/>
        <dsp:cNvSpPr/>
      </dsp:nvSpPr>
      <dsp:spPr>
        <a:xfrm>
          <a:off x="1779229" y="533873"/>
          <a:ext cx="1172293" cy="1172293"/>
        </a:xfrm>
        <a:prstGeom prst="ellips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30" tIns="24130" rIns="24130" bIns="24130" numCol="1" spcCol="1270" anchor="ctr" anchorCtr="0">
          <a:noAutofit/>
        </a:bodyPr>
        <a:lstStyle/>
        <a:p>
          <a:pPr marL="0" lvl="0" indent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900" b="1" kern="1200"/>
            <a:t>Fuel</a:t>
          </a:r>
        </a:p>
      </dsp:txBody>
      <dsp:txXfrm>
        <a:off x="1950907" y="705551"/>
        <a:ext cx="828937" cy="828937"/>
      </dsp:txXfrm>
    </dsp:sp>
    <dsp:sp modelId="{D6E21FBF-44DF-4F1A-B336-3969DE4063D3}">
      <dsp:nvSpPr>
        <dsp:cNvPr id="0" name=""/>
        <dsp:cNvSpPr/>
      </dsp:nvSpPr>
      <dsp:spPr>
        <a:xfrm>
          <a:off x="3556220" y="2310864"/>
          <a:ext cx="1172293" cy="1172293"/>
        </a:xfrm>
        <a:prstGeom prst="ellipse">
          <a:avLst/>
        </a:prstGeom>
        <a:solidFill>
          <a:schemeClr val="accent3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30" tIns="24130" rIns="24130" bIns="24130" numCol="1" spcCol="1270" anchor="ctr" anchorCtr="0">
          <a:noAutofit/>
        </a:bodyPr>
        <a:lstStyle/>
        <a:p>
          <a:pPr marL="0" lvl="0" indent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900" b="1" kern="1200"/>
            <a:t>Crew</a:t>
          </a:r>
        </a:p>
      </dsp:txBody>
      <dsp:txXfrm>
        <a:off x="3727898" y="2482542"/>
        <a:ext cx="828937" cy="828937"/>
      </dsp:txXfrm>
    </dsp:sp>
    <dsp:sp modelId="{BBAE3CC3-6D68-436C-8C62-BA04503504E2}">
      <dsp:nvSpPr>
        <dsp:cNvPr id="0" name=""/>
        <dsp:cNvSpPr/>
      </dsp:nvSpPr>
      <dsp:spPr>
        <a:xfrm>
          <a:off x="1779229" y="4087855"/>
          <a:ext cx="1172293" cy="1172293"/>
        </a:xfrm>
        <a:prstGeom prst="ellipse">
          <a:avLst/>
        </a:prstGeom>
        <a:solidFill>
          <a:schemeClr val="accent4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30" tIns="24130" rIns="24130" bIns="24130" numCol="1" spcCol="1270" anchor="ctr" anchorCtr="0">
          <a:noAutofit/>
        </a:bodyPr>
        <a:lstStyle/>
        <a:p>
          <a:pPr marL="0" lvl="0" indent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900" b="1" kern="1200"/>
            <a:t>Leasing</a:t>
          </a:r>
        </a:p>
      </dsp:txBody>
      <dsp:txXfrm>
        <a:off x="1950907" y="4259533"/>
        <a:ext cx="828937" cy="828937"/>
      </dsp:txXfrm>
    </dsp:sp>
    <dsp:sp modelId="{9130A8CF-4E40-456A-99BF-E4BE70606AB9}">
      <dsp:nvSpPr>
        <dsp:cNvPr id="0" name=""/>
        <dsp:cNvSpPr/>
      </dsp:nvSpPr>
      <dsp:spPr>
        <a:xfrm>
          <a:off x="2238" y="2310864"/>
          <a:ext cx="1172293" cy="1172293"/>
        </a:xfrm>
        <a:prstGeom prst="ellipse">
          <a:avLst/>
        </a:prstGeom>
        <a:solidFill>
          <a:schemeClr val="accent5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30" tIns="24130" rIns="24130" bIns="24130" numCol="1" spcCol="1270" anchor="ctr" anchorCtr="0">
          <a:noAutofit/>
        </a:bodyPr>
        <a:lstStyle/>
        <a:p>
          <a:pPr marL="0" lvl="0" indent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900" b="1" kern="1200"/>
            <a:t>Other costs</a:t>
          </a:r>
        </a:p>
      </dsp:txBody>
      <dsp:txXfrm>
        <a:off x="173916" y="2482542"/>
        <a:ext cx="828937" cy="828937"/>
      </dsp:txXfrm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DE48313-12A0-4E3F-9839-4B45153DA1D6}">
      <dsp:nvSpPr>
        <dsp:cNvPr id="0" name=""/>
        <dsp:cNvSpPr/>
      </dsp:nvSpPr>
      <dsp:spPr>
        <a:xfrm>
          <a:off x="548381" y="1071197"/>
          <a:ext cx="3653038" cy="3653038"/>
        </a:xfrm>
        <a:prstGeom prst="blockArc">
          <a:avLst>
            <a:gd name="adj1" fmla="val 10800000"/>
            <a:gd name="adj2" fmla="val 16200000"/>
            <a:gd name="adj3" fmla="val 4640"/>
          </a:avLst>
        </a:prstGeom>
        <a:solidFill>
          <a:schemeClr val="accent3">
            <a:hueOff val="2710599"/>
            <a:satOff val="100000"/>
            <a:lumOff val="-14706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6E8F7BE-055D-44B4-821F-0ED763BD1068}">
      <dsp:nvSpPr>
        <dsp:cNvPr id="0" name=""/>
        <dsp:cNvSpPr/>
      </dsp:nvSpPr>
      <dsp:spPr>
        <a:xfrm>
          <a:off x="548381" y="1071197"/>
          <a:ext cx="3653038" cy="3653038"/>
        </a:xfrm>
        <a:prstGeom prst="blockArc">
          <a:avLst>
            <a:gd name="adj1" fmla="val 5400000"/>
            <a:gd name="adj2" fmla="val 10800000"/>
            <a:gd name="adj3" fmla="val 4640"/>
          </a:avLst>
        </a:prstGeom>
        <a:solidFill>
          <a:schemeClr val="accent3">
            <a:hueOff val="1807066"/>
            <a:satOff val="66667"/>
            <a:lumOff val="-9804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BE3ABAB-0368-43FB-91D6-FDA2988870C9}">
      <dsp:nvSpPr>
        <dsp:cNvPr id="0" name=""/>
        <dsp:cNvSpPr/>
      </dsp:nvSpPr>
      <dsp:spPr>
        <a:xfrm>
          <a:off x="548381" y="1071197"/>
          <a:ext cx="3653038" cy="3653038"/>
        </a:xfrm>
        <a:prstGeom prst="blockArc">
          <a:avLst>
            <a:gd name="adj1" fmla="val 0"/>
            <a:gd name="adj2" fmla="val 5400000"/>
            <a:gd name="adj3" fmla="val 4640"/>
          </a:avLst>
        </a:prstGeom>
        <a:solidFill>
          <a:schemeClr val="accent3">
            <a:hueOff val="903533"/>
            <a:satOff val="33333"/>
            <a:lumOff val="-4902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9B2BB3-2B13-4E75-BDD7-D0F42A412432}">
      <dsp:nvSpPr>
        <dsp:cNvPr id="0" name=""/>
        <dsp:cNvSpPr/>
      </dsp:nvSpPr>
      <dsp:spPr>
        <a:xfrm>
          <a:off x="548381" y="1071197"/>
          <a:ext cx="3653038" cy="3653038"/>
        </a:xfrm>
        <a:prstGeom prst="blockArc">
          <a:avLst>
            <a:gd name="adj1" fmla="val 16200000"/>
            <a:gd name="adj2" fmla="val 0"/>
            <a:gd name="adj3" fmla="val 4640"/>
          </a:avLst>
        </a:prstGeom>
        <a:solidFill>
          <a:schemeClr val="accent3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B3FFA4F-0570-4E4B-8D96-945106174B92}">
      <dsp:nvSpPr>
        <dsp:cNvPr id="0" name=""/>
        <dsp:cNvSpPr/>
      </dsp:nvSpPr>
      <dsp:spPr>
        <a:xfrm>
          <a:off x="1534176" y="2056992"/>
          <a:ext cx="1681448" cy="1681448"/>
        </a:xfrm>
        <a:prstGeom prst="ellips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30" tIns="24130" rIns="24130" bIns="24130" numCol="1" spcCol="1270" anchor="ctr" anchorCtr="0">
          <a:noAutofit/>
        </a:bodyPr>
        <a:lstStyle/>
        <a:p>
          <a:pPr marL="0" lvl="0" indent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900" b="1" kern="1200"/>
            <a:t>Financial Statements</a:t>
          </a:r>
        </a:p>
      </dsp:txBody>
      <dsp:txXfrm>
        <a:off x="1780418" y="2303234"/>
        <a:ext cx="1188964" cy="1188964"/>
      </dsp:txXfrm>
    </dsp:sp>
    <dsp:sp modelId="{4166E199-4C42-4698-8E25-A313BC4DAA8A}">
      <dsp:nvSpPr>
        <dsp:cNvPr id="0" name=""/>
        <dsp:cNvSpPr/>
      </dsp:nvSpPr>
      <dsp:spPr>
        <a:xfrm>
          <a:off x="1786394" y="525063"/>
          <a:ext cx="1177013" cy="1177013"/>
        </a:xfrm>
        <a:prstGeom prst="ellipse">
          <a:avLst/>
        </a:prstGeom>
        <a:solidFill>
          <a:schemeClr val="accent3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400" b="1" kern="1200"/>
            <a:t>P&amp;L</a:t>
          </a:r>
        </a:p>
      </dsp:txBody>
      <dsp:txXfrm>
        <a:off x="1958764" y="697433"/>
        <a:ext cx="832273" cy="832273"/>
      </dsp:txXfrm>
    </dsp:sp>
    <dsp:sp modelId="{D6E21FBF-44DF-4F1A-B336-3969DE4063D3}">
      <dsp:nvSpPr>
        <dsp:cNvPr id="0" name=""/>
        <dsp:cNvSpPr/>
      </dsp:nvSpPr>
      <dsp:spPr>
        <a:xfrm>
          <a:off x="3570540" y="2309210"/>
          <a:ext cx="1177013" cy="1177013"/>
        </a:xfrm>
        <a:prstGeom prst="ellipse">
          <a:avLst/>
        </a:prstGeom>
        <a:solidFill>
          <a:schemeClr val="accent3">
            <a:hueOff val="903533"/>
            <a:satOff val="33333"/>
            <a:lumOff val="-4902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400" b="1" kern="1200"/>
            <a:t>Cash Flows</a:t>
          </a:r>
        </a:p>
      </dsp:txBody>
      <dsp:txXfrm>
        <a:off x="3742910" y="2481580"/>
        <a:ext cx="832273" cy="832273"/>
      </dsp:txXfrm>
    </dsp:sp>
    <dsp:sp modelId="{BE9EC546-69C6-4A0C-9927-F68F197C2288}">
      <dsp:nvSpPr>
        <dsp:cNvPr id="0" name=""/>
        <dsp:cNvSpPr/>
      </dsp:nvSpPr>
      <dsp:spPr>
        <a:xfrm>
          <a:off x="1786394" y="4093356"/>
          <a:ext cx="1177013" cy="1177013"/>
        </a:xfrm>
        <a:prstGeom prst="ellipse">
          <a:avLst/>
        </a:prstGeom>
        <a:solidFill>
          <a:schemeClr val="accent3">
            <a:hueOff val="1807066"/>
            <a:satOff val="66667"/>
            <a:lumOff val="-9804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400" b="1" kern="1200"/>
            <a:t>Balance Sheet</a:t>
          </a:r>
        </a:p>
      </dsp:txBody>
      <dsp:txXfrm>
        <a:off x="1958764" y="4265726"/>
        <a:ext cx="832273" cy="832273"/>
      </dsp:txXfrm>
    </dsp:sp>
    <dsp:sp modelId="{219FA4AB-90A7-4D7A-A18C-958CCEBE66C4}">
      <dsp:nvSpPr>
        <dsp:cNvPr id="0" name=""/>
        <dsp:cNvSpPr/>
      </dsp:nvSpPr>
      <dsp:spPr>
        <a:xfrm>
          <a:off x="2247" y="2309210"/>
          <a:ext cx="1177013" cy="1177013"/>
        </a:xfrm>
        <a:prstGeom prst="ellipse">
          <a:avLst/>
        </a:prstGeom>
        <a:solidFill>
          <a:schemeClr val="accent3">
            <a:hueOff val="2710599"/>
            <a:satOff val="100000"/>
            <a:lumOff val="-14706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400" b="1" kern="1200"/>
            <a:t>Breakeven</a:t>
          </a:r>
        </a:p>
      </dsp:txBody>
      <dsp:txXfrm>
        <a:off x="174617" y="2481580"/>
        <a:ext cx="832273" cy="83227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radial6">
  <dgm:title val=""/>
  <dgm:desc val=""/>
  <dgm:catLst>
    <dgm:cat type="cycle" pri="9000"/>
    <dgm:cat type="relationship" pri="21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  <dgm:pt modelId="14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  <dgm:cxn modelId="6" srcId="1" destId="14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13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Name0">
    <dgm:varLst>
      <dgm:chMax val="1"/>
      <dgm:dir/>
      <dgm:animLvl val="ctr"/>
      <dgm:resizeHandles val="exact"/>
    </dgm:varLst>
    <dgm:choose name="Name1">
      <dgm:if name="Name2" func="var" arg="dir" op="equ" val="norm">
        <dgm:choose name="Name3">
          <dgm:if name="Name4" axis="ch ch" ptType="node node" st="1 1" cnt="1 0" func="cnt" op="lte" val="1">
            <dgm:alg type="cycle">
              <dgm:param type="stAng" val="90"/>
              <dgm:param type="spanAng" val="360"/>
              <dgm:param type="ctrShpMap" val="fNode"/>
            </dgm:alg>
          </dgm:if>
          <dgm:else name="Name5">
            <dgm:alg type="cycle">
              <dgm:param type="stAng" val="0"/>
              <dgm:param type="spanAng" val="360"/>
              <dgm:param type="ctrShpMap" val="fNode"/>
            </dgm:alg>
          </dgm:else>
        </dgm:choose>
      </dgm:if>
      <dgm:else name="Name6">
        <dgm:choose name="Name7">
          <dgm:if name="Name8" axis="ch ch" ptType="node node" st="1 1" cnt="1 0" func="cnt" op="lte" val="1">
            <dgm:alg type="cycle">
              <dgm:param type="stAng" val="-90"/>
              <dgm:param type="spanAng" val="360"/>
              <dgm:param type="ctrShpMap" val="fNode"/>
            </dgm:alg>
          </dgm:if>
          <dgm:else name="Name9">
            <dgm:alg type="cycle">
              <dgm:param type="stAng" val="0"/>
              <dgm:param type="spanAng" val="-360"/>
              <dgm:param type="ctrShpMap" val="fNode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10">
      <dgm:if name="Name11" func="var" arg="dir" op="equ" val="norm">
        <dgm:choose name="Name12">
          <dgm:if name="Name13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des" forName="oneNode" refType="primFontSz" refFor="ch" refForName="centerShape" op="lte" fact="0.95"/>
              <dgm:constr type="diam" for="ch" forName="singleconn" refType="diam" op="equ" fact="-1"/>
              <dgm:constr type="h" for="ch" forName="singleconn" refType="w" refFor="ch" refForName="oneComp" fact="0.24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4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forName="sibTrans" refType="diam" op="equ"/>
              <dgm:constr type="h" for="ch" forName="sibTrans" refType="w" refFor="ch" refForName="node" fact="0.24"/>
              <dgm:constr type="w" for="ch" forName="dummy" val="1"/>
            </dgm:constrLst>
          </dgm:else>
        </dgm:choose>
      </dgm:if>
      <dgm:else name="Name15">
        <dgm:choose name="Name16">
          <dgm:if name="Name17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ch" forName="oneNode" refType="primFontSz" refFor="ch" refForName="centerShape" op="lte" fact="0.95"/>
              <dgm:constr type="diam" for="ch" forName="singleconn" refType="diam"/>
              <dgm:constr type="h" for="ch" forName="singleconn" refType="w" refFor="ch" refForName="oneComp" fact="0.24"/>
              <dgm:constr type="diam" for="ch" refType="diam" op="equ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8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ptType="sibTrans" refType="diam" fact="-1"/>
              <dgm:constr type="h" for="ch" forName="sibTrans" refType="w" refFor="ch" refForName="node" fact="0.24"/>
              <dgm:constr type="diam" for="ch" refType="diam" op="equ" fact="-1"/>
              <dgm:constr type="w" for="ch" forName="dummy" val="1"/>
            </dgm:constrLst>
          </dgm:else>
        </dgm:choose>
      </dgm:else>
    </dgm:choose>
    <dgm:ruleLst>
      <dgm:rule type="diam" val="INF" fact="NaN" max="NaN"/>
    </dgm:ruleLst>
    <dgm:forEach name="Name19" axis="ch" ptType="node" cnt="1">
      <dgm:layoutNode name="centerShape" styleLbl="node0">
        <dgm:alg type="tx"/>
        <dgm:shape xmlns:r="http://schemas.openxmlformats.org/officeDocument/2006/relationships" type="ellipse" r:blip="">
          <dgm:adjLst/>
        </dgm:shape>
        <dgm:presOf axis="self"/>
        <dgm:constrLst>
          <dgm:constr type="h" refType="w"/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forEach name="Name20" axis="ch">
        <dgm:forEach name="Name21" axis="self" ptType="node">
          <dgm:choose name="Name22">
            <dgm:if name="Name23" axis="par ch" ptType="node node" func="cnt" op="gt" val="1">
              <dgm:layoutNode name="node" styleLbl="node1">
                <dgm:varLst>
                  <dgm:bulletEnabled val="1"/>
                </dgm:varLst>
                <dgm:alg type="tx">
                  <dgm:param type="txAnchorVertCh" val="mid"/>
                </dgm:alg>
                <dgm:shape xmlns:r="http://schemas.openxmlformats.org/officeDocument/2006/relationships" type="ellipse" r:blip="">
                  <dgm:adjLst/>
                </dgm:shape>
                <dgm:presOf axis="desOrSelf" ptType="node"/>
                <dgm:constrLst>
                  <dgm:constr type="h" refType="w"/>
                  <dgm:constr type="tMarg" refType="primFontSz" fact="0.1"/>
                  <dgm:constr type="bMarg" refType="primFontSz" fact="0.1"/>
                  <dgm:constr type="lMarg" refType="primFontSz" fact="0.1"/>
                  <dgm:constr type="rMarg" refType="primFontSz" fact="0.1"/>
                </dgm:constrLst>
                <dgm:ruleLst>
                  <dgm:rule type="primFontSz" val="5" fact="NaN" max="NaN"/>
                </dgm:ruleLst>
              </dgm:layoutNode>
              <dgm:layoutNode name="dummy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" axis="followSib" ptType="sibTrans" hideLastTrans="0" cnt="1">
                <dgm:layoutNode name="sibTrans" styleLbl="sibTrans2D1">
                  <dgm:alg type="conn">
                    <dgm:param type="connRout" val="curve"/>
                    <dgm:param type="begPts" val="ctr"/>
                    <dgm:param type="endPts" val="ctr"/>
                    <dgm:param type="begSty" val="noArr"/>
                    <dgm:param type="endSty" val="noArr"/>
                    <dgm:param type="dstNode" val="node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if name="Name24" axis="par ch" ptType="node node" func="cnt" op="equ" val="1">
              <dgm:layoutNode name="oneComp">
                <dgm:alg type="composite">
                  <dgm:param type="ar" val="1"/>
                </dgm:alg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  <dgm:constr type="l" for="ch" forName="dummyConnPt" refType="w" fact="0.5"/>
                  <dgm:constr type="t" for="ch" forName="dummyConnPt" refType="w" fact="0.5"/>
                  <dgm:constr type="l" for="ch" forName="oneNode"/>
                  <dgm:constr type="t" for="ch" forName="oneNode"/>
                  <dgm:constr type="h" for="ch" forName="oneNode" refType="h"/>
                  <dgm:constr type="w" for="ch" forName="oneNode" refType="w"/>
                </dgm:constrLst>
                <dgm:ruleLst/>
                <dgm:layoutNode name="dummyConnPt" styleLbl="node1">
                  <dgm:alg type="sp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val="1"/>
                    <dgm:constr type="h" val="1"/>
                  </dgm:constrLst>
                  <dgm:ruleLst/>
                </dgm:layoutNode>
                <dgm:layoutNode name="oneNode" styleLbl="node1">
                  <dgm:varLst>
                    <dgm:bulletEnabled val="1"/>
                  </dgm:varLst>
                  <dgm:alg type="tx">
                    <dgm:param type="txAnchorVertCh" val="mid"/>
                  </dgm:alg>
                  <dgm:shape xmlns:r="http://schemas.openxmlformats.org/officeDocument/2006/relationships" type="ellipse" r:blip="">
                    <dgm:adjLst/>
                  </dgm:shape>
                  <dgm:presOf axis="desOrSelf" ptType="node"/>
                  <dgm:constrLst>
                    <dgm:constr type="h" refType="w"/>
                    <dgm:constr type="tMarg" refType="primFontSz" fact="0.1"/>
                    <dgm:constr type="bMarg" refType="primFontSz" fact="0.1"/>
                    <dgm:constr type="lMarg" refType="primFontSz" fact="0.1"/>
                    <dgm:constr type="rMarg" refType="primFontSz" fact="0.1"/>
                  </dgm:constrLst>
                  <dgm:ruleLst>
                    <dgm:rule type="primFontSz" val="5" fact="NaN" max="NaN"/>
                  </dgm:ruleLst>
                </dgm:layoutNode>
              </dgm:layoutNode>
              <dgm:layoutNode name="dummya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b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c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1" axis="followSib" ptType="sibTrans" hideLastTrans="0" cnt="1">
                <dgm:layoutNode name="singleconn" styleLbl="sibTrans2D1">
                  <dgm:alg type="conn">
                    <dgm:param type="connRout" val="longCurve"/>
                    <dgm:param type="begPts" val="bCtr"/>
                    <dgm:param type="endPts" val="tCtr"/>
                    <dgm:param type="begSty" val="noArr"/>
                    <dgm:param type="endSty" val="noArr"/>
                    <dgm:param type="srcNode" val="dummyConnPt"/>
                    <dgm:param type="dstNode" val="dummyConnPt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else name="Name25"/>
          </dgm:choose>
        </dgm:forEach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radial6">
  <dgm:title val=""/>
  <dgm:desc val=""/>
  <dgm:catLst>
    <dgm:cat type="cycle" pri="9000"/>
    <dgm:cat type="relationship" pri="21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  <dgm:pt modelId="14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  <dgm:cxn modelId="6" srcId="1" destId="14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13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Name0">
    <dgm:varLst>
      <dgm:chMax val="1"/>
      <dgm:dir/>
      <dgm:animLvl val="ctr"/>
      <dgm:resizeHandles val="exact"/>
    </dgm:varLst>
    <dgm:choose name="Name1">
      <dgm:if name="Name2" func="var" arg="dir" op="equ" val="norm">
        <dgm:choose name="Name3">
          <dgm:if name="Name4" axis="ch ch" ptType="node node" st="1 1" cnt="1 0" func="cnt" op="lte" val="1">
            <dgm:alg type="cycle">
              <dgm:param type="stAng" val="90"/>
              <dgm:param type="spanAng" val="360"/>
              <dgm:param type="ctrShpMap" val="fNode"/>
            </dgm:alg>
          </dgm:if>
          <dgm:else name="Name5">
            <dgm:alg type="cycle">
              <dgm:param type="stAng" val="0"/>
              <dgm:param type="spanAng" val="360"/>
              <dgm:param type="ctrShpMap" val="fNode"/>
            </dgm:alg>
          </dgm:else>
        </dgm:choose>
      </dgm:if>
      <dgm:else name="Name6">
        <dgm:choose name="Name7">
          <dgm:if name="Name8" axis="ch ch" ptType="node node" st="1 1" cnt="1 0" func="cnt" op="lte" val="1">
            <dgm:alg type="cycle">
              <dgm:param type="stAng" val="-90"/>
              <dgm:param type="spanAng" val="360"/>
              <dgm:param type="ctrShpMap" val="fNode"/>
            </dgm:alg>
          </dgm:if>
          <dgm:else name="Name9">
            <dgm:alg type="cycle">
              <dgm:param type="stAng" val="0"/>
              <dgm:param type="spanAng" val="-360"/>
              <dgm:param type="ctrShpMap" val="fNode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10">
      <dgm:if name="Name11" func="var" arg="dir" op="equ" val="norm">
        <dgm:choose name="Name12">
          <dgm:if name="Name13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des" forName="oneNode" refType="primFontSz" refFor="ch" refForName="centerShape" op="lte" fact="0.95"/>
              <dgm:constr type="diam" for="ch" forName="singleconn" refType="diam" op="equ" fact="-1"/>
              <dgm:constr type="h" for="ch" forName="singleconn" refType="w" refFor="ch" refForName="oneComp" fact="0.24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4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forName="sibTrans" refType="diam" op="equ"/>
              <dgm:constr type="h" for="ch" forName="sibTrans" refType="w" refFor="ch" refForName="node" fact="0.24"/>
              <dgm:constr type="w" for="ch" forName="dummy" val="1"/>
            </dgm:constrLst>
          </dgm:else>
        </dgm:choose>
      </dgm:if>
      <dgm:else name="Name15">
        <dgm:choose name="Name16">
          <dgm:if name="Name17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ch" forName="oneNode" refType="primFontSz" refFor="ch" refForName="centerShape" op="lte" fact="0.95"/>
              <dgm:constr type="diam" for="ch" forName="singleconn" refType="diam"/>
              <dgm:constr type="h" for="ch" forName="singleconn" refType="w" refFor="ch" refForName="oneComp" fact="0.24"/>
              <dgm:constr type="diam" for="ch" refType="diam" op="equ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8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ptType="sibTrans" refType="diam" fact="-1"/>
              <dgm:constr type="h" for="ch" forName="sibTrans" refType="w" refFor="ch" refForName="node" fact="0.24"/>
              <dgm:constr type="diam" for="ch" refType="diam" op="equ" fact="-1"/>
              <dgm:constr type="w" for="ch" forName="dummy" val="1"/>
            </dgm:constrLst>
          </dgm:else>
        </dgm:choose>
      </dgm:else>
    </dgm:choose>
    <dgm:ruleLst>
      <dgm:rule type="diam" val="INF" fact="NaN" max="NaN"/>
    </dgm:ruleLst>
    <dgm:forEach name="Name19" axis="ch" ptType="node" cnt="1">
      <dgm:layoutNode name="centerShape" styleLbl="node0">
        <dgm:alg type="tx"/>
        <dgm:shape xmlns:r="http://schemas.openxmlformats.org/officeDocument/2006/relationships" type="ellipse" r:blip="">
          <dgm:adjLst/>
        </dgm:shape>
        <dgm:presOf axis="self"/>
        <dgm:constrLst>
          <dgm:constr type="h" refType="w"/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forEach name="Name20" axis="ch">
        <dgm:forEach name="Name21" axis="self" ptType="node">
          <dgm:choose name="Name22">
            <dgm:if name="Name23" axis="par ch" ptType="node node" func="cnt" op="gt" val="1">
              <dgm:layoutNode name="node" styleLbl="node1">
                <dgm:varLst>
                  <dgm:bulletEnabled val="1"/>
                </dgm:varLst>
                <dgm:alg type="tx">
                  <dgm:param type="txAnchorVertCh" val="mid"/>
                </dgm:alg>
                <dgm:shape xmlns:r="http://schemas.openxmlformats.org/officeDocument/2006/relationships" type="ellipse" r:blip="">
                  <dgm:adjLst/>
                </dgm:shape>
                <dgm:presOf axis="desOrSelf" ptType="node"/>
                <dgm:constrLst>
                  <dgm:constr type="h" refType="w"/>
                  <dgm:constr type="tMarg" refType="primFontSz" fact="0.1"/>
                  <dgm:constr type="bMarg" refType="primFontSz" fact="0.1"/>
                  <dgm:constr type="lMarg" refType="primFontSz" fact="0.1"/>
                  <dgm:constr type="rMarg" refType="primFontSz" fact="0.1"/>
                </dgm:constrLst>
                <dgm:ruleLst>
                  <dgm:rule type="primFontSz" val="5" fact="NaN" max="NaN"/>
                </dgm:ruleLst>
              </dgm:layoutNode>
              <dgm:layoutNode name="dummy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" axis="followSib" ptType="sibTrans" hideLastTrans="0" cnt="1">
                <dgm:layoutNode name="sibTrans" styleLbl="sibTrans2D1">
                  <dgm:alg type="conn">
                    <dgm:param type="connRout" val="curve"/>
                    <dgm:param type="begPts" val="ctr"/>
                    <dgm:param type="endPts" val="ctr"/>
                    <dgm:param type="begSty" val="noArr"/>
                    <dgm:param type="endSty" val="noArr"/>
                    <dgm:param type="dstNode" val="node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if name="Name24" axis="par ch" ptType="node node" func="cnt" op="equ" val="1">
              <dgm:layoutNode name="oneComp">
                <dgm:alg type="composite">
                  <dgm:param type="ar" val="1"/>
                </dgm:alg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  <dgm:constr type="l" for="ch" forName="dummyConnPt" refType="w" fact="0.5"/>
                  <dgm:constr type="t" for="ch" forName="dummyConnPt" refType="w" fact="0.5"/>
                  <dgm:constr type="l" for="ch" forName="oneNode"/>
                  <dgm:constr type="t" for="ch" forName="oneNode"/>
                  <dgm:constr type="h" for="ch" forName="oneNode" refType="h"/>
                  <dgm:constr type="w" for="ch" forName="oneNode" refType="w"/>
                </dgm:constrLst>
                <dgm:ruleLst/>
                <dgm:layoutNode name="dummyConnPt" styleLbl="node1">
                  <dgm:alg type="sp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val="1"/>
                    <dgm:constr type="h" val="1"/>
                  </dgm:constrLst>
                  <dgm:ruleLst/>
                </dgm:layoutNode>
                <dgm:layoutNode name="oneNode" styleLbl="node1">
                  <dgm:varLst>
                    <dgm:bulletEnabled val="1"/>
                  </dgm:varLst>
                  <dgm:alg type="tx">
                    <dgm:param type="txAnchorVertCh" val="mid"/>
                  </dgm:alg>
                  <dgm:shape xmlns:r="http://schemas.openxmlformats.org/officeDocument/2006/relationships" type="ellipse" r:blip="">
                    <dgm:adjLst/>
                  </dgm:shape>
                  <dgm:presOf axis="desOrSelf" ptType="node"/>
                  <dgm:constrLst>
                    <dgm:constr type="h" refType="w"/>
                    <dgm:constr type="tMarg" refType="primFontSz" fact="0.1"/>
                    <dgm:constr type="bMarg" refType="primFontSz" fact="0.1"/>
                    <dgm:constr type="lMarg" refType="primFontSz" fact="0.1"/>
                    <dgm:constr type="rMarg" refType="primFontSz" fact="0.1"/>
                  </dgm:constrLst>
                  <dgm:ruleLst>
                    <dgm:rule type="primFontSz" val="5" fact="NaN" max="NaN"/>
                  </dgm:ruleLst>
                </dgm:layoutNode>
              </dgm:layoutNode>
              <dgm:layoutNode name="dummya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b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c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1" axis="followSib" ptType="sibTrans" hideLastTrans="0" cnt="1">
                <dgm:layoutNode name="singleconn" styleLbl="sibTrans2D1">
                  <dgm:alg type="conn">
                    <dgm:param type="connRout" val="longCurve"/>
                    <dgm:param type="begPts" val="bCtr"/>
                    <dgm:param type="endPts" val="tCtr"/>
                    <dgm:param type="begSty" val="noArr"/>
                    <dgm:param type="endSty" val="noArr"/>
                    <dgm:param type="srcNode" val="dummyConnPt"/>
                    <dgm:param type="dstNode" val="dummyConnPt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else name="Name25"/>
          </dgm:choose>
        </dgm:forEach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radial6">
  <dgm:title val=""/>
  <dgm:desc val=""/>
  <dgm:catLst>
    <dgm:cat type="cycle" pri="9000"/>
    <dgm:cat type="relationship" pri="21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  <dgm:pt modelId="14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  <dgm:cxn modelId="6" srcId="1" destId="14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13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Name0">
    <dgm:varLst>
      <dgm:chMax val="1"/>
      <dgm:dir/>
      <dgm:animLvl val="ctr"/>
      <dgm:resizeHandles val="exact"/>
    </dgm:varLst>
    <dgm:choose name="Name1">
      <dgm:if name="Name2" func="var" arg="dir" op="equ" val="norm">
        <dgm:choose name="Name3">
          <dgm:if name="Name4" axis="ch ch" ptType="node node" st="1 1" cnt="1 0" func="cnt" op="lte" val="1">
            <dgm:alg type="cycle">
              <dgm:param type="stAng" val="90"/>
              <dgm:param type="spanAng" val="360"/>
              <dgm:param type="ctrShpMap" val="fNode"/>
            </dgm:alg>
          </dgm:if>
          <dgm:else name="Name5">
            <dgm:alg type="cycle">
              <dgm:param type="stAng" val="0"/>
              <dgm:param type="spanAng" val="360"/>
              <dgm:param type="ctrShpMap" val="fNode"/>
            </dgm:alg>
          </dgm:else>
        </dgm:choose>
      </dgm:if>
      <dgm:else name="Name6">
        <dgm:choose name="Name7">
          <dgm:if name="Name8" axis="ch ch" ptType="node node" st="1 1" cnt="1 0" func="cnt" op="lte" val="1">
            <dgm:alg type="cycle">
              <dgm:param type="stAng" val="-90"/>
              <dgm:param type="spanAng" val="360"/>
              <dgm:param type="ctrShpMap" val="fNode"/>
            </dgm:alg>
          </dgm:if>
          <dgm:else name="Name9">
            <dgm:alg type="cycle">
              <dgm:param type="stAng" val="0"/>
              <dgm:param type="spanAng" val="-360"/>
              <dgm:param type="ctrShpMap" val="fNode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10">
      <dgm:if name="Name11" func="var" arg="dir" op="equ" val="norm">
        <dgm:choose name="Name12">
          <dgm:if name="Name13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des" forName="oneNode" refType="primFontSz" refFor="ch" refForName="centerShape" op="lte" fact="0.95"/>
              <dgm:constr type="diam" for="ch" forName="singleconn" refType="diam" op="equ" fact="-1"/>
              <dgm:constr type="h" for="ch" forName="singleconn" refType="w" refFor="ch" refForName="oneComp" fact="0.24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4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forName="sibTrans" refType="diam" op="equ"/>
              <dgm:constr type="h" for="ch" forName="sibTrans" refType="w" refFor="ch" refForName="node" fact="0.24"/>
              <dgm:constr type="w" for="ch" forName="dummy" val="1"/>
            </dgm:constrLst>
          </dgm:else>
        </dgm:choose>
      </dgm:if>
      <dgm:else name="Name15">
        <dgm:choose name="Name16">
          <dgm:if name="Name17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ch" forName="oneNode" refType="primFontSz" refFor="ch" refForName="centerShape" op="lte" fact="0.95"/>
              <dgm:constr type="diam" for="ch" forName="singleconn" refType="diam"/>
              <dgm:constr type="h" for="ch" forName="singleconn" refType="w" refFor="ch" refForName="oneComp" fact="0.24"/>
              <dgm:constr type="diam" for="ch" refType="diam" op="equ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8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ptType="sibTrans" refType="diam" fact="-1"/>
              <dgm:constr type="h" for="ch" forName="sibTrans" refType="w" refFor="ch" refForName="node" fact="0.24"/>
              <dgm:constr type="diam" for="ch" refType="diam" op="equ" fact="-1"/>
              <dgm:constr type="w" for="ch" forName="dummy" val="1"/>
            </dgm:constrLst>
          </dgm:else>
        </dgm:choose>
      </dgm:else>
    </dgm:choose>
    <dgm:ruleLst>
      <dgm:rule type="diam" val="INF" fact="NaN" max="NaN"/>
    </dgm:ruleLst>
    <dgm:forEach name="Name19" axis="ch" ptType="node" cnt="1">
      <dgm:layoutNode name="centerShape" styleLbl="node0">
        <dgm:alg type="tx"/>
        <dgm:shape xmlns:r="http://schemas.openxmlformats.org/officeDocument/2006/relationships" type="ellipse" r:blip="">
          <dgm:adjLst/>
        </dgm:shape>
        <dgm:presOf axis="self"/>
        <dgm:constrLst>
          <dgm:constr type="h" refType="w"/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forEach name="Name20" axis="ch">
        <dgm:forEach name="Name21" axis="self" ptType="node">
          <dgm:choose name="Name22">
            <dgm:if name="Name23" axis="par ch" ptType="node node" func="cnt" op="gt" val="1">
              <dgm:layoutNode name="node" styleLbl="node1">
                <dgm:varLst>
                  <dgm:bulletEnabled val="1"/>
                </dgm:varLst>
                <dgm:alg type="tx">
                  <dgm:param type="txAnchorVertCh" val="mid"/>
                </dgm:alg>
                <dgm:shape xmlns:r="http://schemas.openxmlformats.org/officeDocument/2006/relationships" type="ellipse" r:blip="">
                  <dgm:adjLst/>
                </dgm:shape>
                <dgm:presOf axis="desOrSelf" ptType="node"/>
                <dgm:constrLst>
                  <dgm:constr type="h" refType="w"/>
                  <dgm:constr type="tMarg" refType="primFontSz" fact="0.1"/>
                  <dgm:constr type="bMarg" refType="primFontSz" fact="0.1"/>
                  <dgm:constr type="lMarg" refType="primFontSz" fact="0.1"/>
                  <dgm:constr type="rMarg" refType="primFontSz" fact="0.1"/>
                </dgm:constrLst>
                <dgm:ruleLst>
                  <dgm:rule type="primFontSz" val="5" fact="NaN" max="NaN"/>
                </dgm:ruleLst>
              </dgm:layoutNode>
              <dgm:layoutNode name="dummy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" axis="followSib" ptType="sibTrans" hideLastTrans="0" cnt="1">
                <dgm:layoutNode name="sibTrans" styleLbl="sibTrans2D1">
                  <dgm:alg type="conn">
                    <dgm:param type="connRout" val="curve"/>
                    <dgm:param type="begPts" val="ctr"/>
                    <dgm:param type="endPts" val="ctr"/>
                    <dgm:param type="begSty" val="noArr"/>
                    <dgm:param type="endSty" val="noArr"/>
                    <dgm:param type="dstNode" val="node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if name="Name24" axis="par ch" ptType="node node" func="cnt" op="equ" val="1">
              <dgm:layoutNode name="oneComp">
                <dgm:alg type="composite">
                  <dgm:param type="ar" val="1"/>
                </dgm:alg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  <dgm:constr type="l" for="ch" forName="dummyConnPt" refType="w" fact="0.5"/>
                  <dgm:constr type="t" for="ch" forName="dummyConnPt" refType="w" fact="0.5"/>
                  <dgm:constr type="l" for="ch" forName="oneNode"/>
                  <dgm:constr type="t" for="ch" forName="oneNode"/>
                  <dgm:constr type="h" for="ch" forName="oneNode" refType="h"/>
                  <dgm:constr type="w" for="ch" forName="oneNode" refType="w"/>
                </dgm:constrLst>
                <dgm:ruleLst/>
                <dgm:layoutNode name="dummyConnPt" styleLbl="node1">
                  <dgm:alg type="sp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val="1"/>
                    <dgm:constr type="h" val="1"/>
                  </dgm:constrLst>
                  <dgm:ruleLst/>
                </dgm:layoutNode>
                <dgm:layoutNode name="oneNode" styleLbl="node1">
                  <dgm:varLst>
                    <dgm:bulletEnabled val="1"/>
                  </dgm:varLst>
                  <dgm:alg type="tx">
                    <dgm:param type="txAnchorVertCh" val="mid"/>
                  </dgm:alg>
                  <dgm:shape xmlns:r="http://schemas.openxmlformats.org/officeDocument/2006/relationships" type="ellipse" r:blip="">
                    <dgm:adjLst/>
                  </dgm:shape>
                  <dgm:presOf axis="desOrSelf" ptType="node"/>
                  <dgm:constrLst>
                    <dgm:constr type="h" refType="w"/>
                    <dgm:constr type="tMarg" refType="primFontSz" fact="0.1"/>
                    <dgm:constr type="bMarg" refType="primFontSz" fact="0.1"/>
                    <dgm:constr type="lMarg" refType="primFontSz" fact="0.1"/>
                    <dgm:constr type="rMarg" refType="primFontSz" fact="0.1"/>
                  </dgm:constrLst>
                  <dgm:ruleLst>
                    <dgm:rule type="primFontSz" val="5" fact="NaN" max="NaN"/>
                  </dgm:ruleLst>
                </dgm:layoutNode>
              </dgm:layoutNode>
              <dgm:layoutNode name="dummya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b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c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1" axis="followSib" ptType="sibTrans" hideLastTrans="0" cnt="1">
                <dgm:layoutNode name="singleconn" styleLbl="sibTrans2D1">
                  <dgm:alg type="conn">
                    <dgm:param type="connRout" val="longCurve"/>
                    <dgm:param type="begPts" val="bCtr"/>
                    <dgm:param type="endPts" val="tCtr"/>
                    <dgm:param type="begSty" val="noArr"/>
                    <dgm:param type="endSty" val="noArr"/>
                    <dgm:param type="srcNode" val="dummyConnPt"/>
                    <dgm:param type="dstNode" val="dummyConnPt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else name="Name25"/>
          </dgm:choose>
        </dgm:forEach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radial6">
  <dgm:title val=""/>
  <dgm:desc val=""/>
  <dgm:catLst>
    <dgm:cat type="cycle" pri="9000"/>
    <dgm:cat type="relationship" pri="21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  <dgm:pt modelId="14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  <dgm:cxn modelId="6" srcId="1" destId="14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13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Name0">
    <dgm:varLst>
      <dgm:chMax val="1"/>
      <dgm:dir/>
      <dgm:animLvl val="ctr"/>
      <dgm:resizeHandles val="exact"/>
    </dgm:varLst>
    <dgm:choose name="Name1">
      <dgm:if name="Name2" func="var" arg="dir" op="equ" val="norm">
        <dgm:choose name="Name3">
          <dgm:if name="Name4" axis="ch ch" ptType="node node" st="1 1" cnt="1 0" func="cnt" op="lte" val="1">
            <dgm:alg type="cycle">
              <dgm:param type="stAng" val="90"/>
              <dgm:param type="spanAng" val="360"/>
              <dgm:param type="ctrShpMap" val="fNode"/>
            </dgm:alg>
          </dgm:if>
          <dgm:else name="Name5">
            <dgm:alg type="cycle">
              <dgm:param type="stAng" val="0"/>
              <dgm:param type="spanAng" val="360"/>
              <dgm:param type="ctrShpMap" val="fNode"/>
            </dgm:alg>
          </dgm:else>
        </dgm:choose>
      </dgm:if>
      <dgm:else name="Name6">
        <dgm:choose name="Name7">
          <dgm:if name="Name8" axis="ch ch" ptType="node node" st="1 1" cnt="1 0" func="cnt" op="lte" val="1">
            <dgm:alg type="cycle">
              <dgm:param type="stAng" val="-90"/>
              <dgm:param type="spanAng" val="360"/>
              <dgm:param type="ctrShpMap" val="fNode"/>
            </dgm:alg>
          </dgm:if>
          <dgm:else name="Name9">
            <dgm:alg type="cycle">
              <dgm:param type="stAng" val="0"/>
              <dgm:param type="spanAng" val="-360"/>
              <dgm:param type="ctrShpMap" val="fNode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10">
      <dgm:if name="Name11" func="var" arg="dir" op="equ" val="norm">
        <dgm:choose name="Name12">
          <dgm:if name="Name13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des" forName="oneNode" refType="primFontSz" refFor="ch" refForName="centerShape" op="lte" fact="0.95"/>
              <dgm:constr type="diam" for="ch" forName="singleconn" refType="diam" op="equ" fact="-1"/>
              <dgm:constr type="h" for="ch" forName="singleconn" refType="w" refFor="ch" refForName="oneComp" fact="0.24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4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forName="sibTrans" refType="diam" op="equ"/>
              <dgm:constr type="h" for="ch" forName="sibTrans" refType="w" refFor="ch" refForName="node" fact="0.24"/>
              <dgm:constr type="w" for="ch" forName="dummy" val="1"/>
            </dgm:constrLst>
          </dgm:else>
        </dgm:choose>
      </dgm:if>
      <dgm:else name="Name15">
        <dgm:choose name="Name16">
          <dgm:if name="Name17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ch" forName="oneNode" refType="primFontSz" refFor="ch" refForName="centerShape" op="lte" fact="0.95"/>
              <dgm:constr type="diam" for="ch" forName="singleconn" refType="diam"/>
              <dgm:constr type="h" for="ch" forName="singleconn" refType="w" refFor="ch" refForName="oneComp" fact="0.24"/>
              <dgm:constr type="diam" for="ch" refType="diam" op="equ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8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ptType="sibTrans" refType="diam" fact="-1"/>
              <dgm:constr type="h" for="ch" forName="sibTrans" refType="w" refFor="ch" refForName="node" fact="0.24"/>
              <dgm:constr type="diam" for="ch" refType="diam" op="equ" fact="-1"/>
              <dgm:constr type="w" for="ch" forName="dummy" val="1"/>
            </dgm:constrLst>
          </dgm:else>
        </dgm:choose>
      </dgm:else>
    </dgm:choose>
    <dgm:ruleLst>
      <dgm:rule type="diam" val="INF" fact="NaN" max="NaN"/>
    </dgm:ruleLst>
    <dgm:forEach name="Name19" axis="ch" ptType="node" cnt="1">
      <dgm:layoutNode name="centerShape" styleLbl="node0">
        <dgm:alg type="tx"/>
        <dgm:shape xmlns:r="http://schemas.openxmlformats.org/officeDocument/2006/relationships" type="ellipse" r:blip="">
          <dgm:adjLst/>
        </dgm:shape>
        <dgm:presOf axis="self"/>
        <dgm:constrLst>
          <dgm:constr type="h" refType="w"/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forEach name="Name20" axis="ch">
        <dgm:forEach name="Name21" axis="self" ptType="node">
          <dgm:choose name="Name22">
            <dgm:if name="Name23" axis="par ch" ptType="node node" func="cnt" op="gt" val="1">
              <dgm:layoutNode name="node" styleLbl="node1">
                <dgm:varLst>
                  <dgm:bulletEnabled val="1"/>
                </dgm:varLst>
                <dgm:alg type="tx">
                  <dgm:param type="txAnchorVertCh" val="mid"/>
                </dgm:alg>
                <dgm:shape xmlns:r="http://schemas.openxmlformats.org/officeDocument/2006/relationships" type="ellipse" r:blip="">
                  <dgm:adjLst/>
                </dgm:shape>
                <dgm:presOf axis="desOrSelf" ptType="node"/>
                <dgm:constrLst>
                  <dgm:constr type="h" refType="w"/>
                  <dgm:constr type="tMarg" refType="primFontSz" fact="0.1"/>
                  <dgm:constr type="bMarg" refType="primFontSz" fact="0.1"/>
                  <dgm:constr type="lMarg" refType="primFontSz" fact="0.1"/>
                  <dgm:constr type="rMarg" refType="primFontSz" fact="0.1"/>
                </dgm:constrLst>
                <dgm:ruleLst>
                  <dgm:rule type="primFontSz" val="5" fact="NaN" max="NaN"/>
                </dgm:ruleLst>
              </dgm:layoutNode>
              <dgm:layoutNode name="dummy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" axis="followSib" ptType="sibTrans" hideLastTrans="0" cnt="1">
                <dgm:layoutNode name="sibTrans" styleLbl="sibTrans2D1">
                  <dgm:alg type="conn">
                    <dgm:param type="connRout" val="curve"/>
                    <dgm:param type="begPts" val="ctr"/>
                    <dgm:param type="endPts" val="ctr"/>
                    <dgm:param type="begSty" val="noArr"/>
                    <dgm:param type="endSty" val="noArr"/>
                    <dgm:param type="dstNode" val="node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if name="Name24" axis="par ch" ptType="node node" func="cnt" op="equ" val="1">
              <dgm:layoutNode name="oneComp">
                <dgm:alg type="composite">
                  <dgm:param type="ar" val="1"/>
                </dgm:alg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  <dgm:constr type="l" for="ch" forName="dummyConnPt" refType="w" fact="0.5"/>
                  <dgm:constr type="t" for="ch" forName="dummyConnPt" refType="w" fact="0.5"/>
                  <dgm:constr type="l" for="ch" forName="oneNode"/>
                  <dgm:constr type="t" for="ch" forName="oneNode"/>
                  <dgm:constr type="h" for="ch" forName="oneNode" refType="h"/>
                  <dgm:constr type="w" for="ch" forName="oneNode" refType="w"/>
                </dgm:constrLst>
                <dgm:ruleLst/>
                <dgm:layoutNode name="dummyConnPt" styleLbl="node1">
                  <dgm:alg type="sp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val="1"/>
                    <dgm:constr type="h" val="1"/>
                  </dgm:constrLst>
                  <dgm:ruleLst/>
                </dgm:layoutNode>
                <dgm:layoutNode name="oneNode" styleLbl="node1">
                  <dgm:varLst>
                    <dgm:bulletEnabled val="1"/>
                  </dgm:varLst>
                  <dgm:alg type="tx">
                    <dgm:param type="txAnchorVertCh" val="mid"/>
                  </dgm:alg>
                  <dgm:shape xmlns:r="http://schemas.openxmlformats.org/officeDocument/2006/relationships" type="ellipse" r:blip="">
                    <dgm:adjLst/>
                  </dgm:shape>
                  <dgm:presOf axis="desOrSelf" ptType="node"/>
                  <dgm:constrLst>
                    <dgm:constr type="h" refType="w"/>
                    <dgm:constr type="tMarg" refType="primFontSz" fact="0.1"/>
                    <dgm:constr type="bMarg" refType="primFontSz" fact="0.1"/>
                    <dgm:constr type="lMarg" refType="primFontSz" fact="0.1"/>
                    <dgm:constr type="rMarg" refType="primFontSz" fact="0.1"/>
                  </dgm:constrLst>
                  <dgm:ruleLst>
                    <dgm:rule type="primFontSz" val="5" fact="NaN" max="NaN"/>
                  </dgm:ruleLst>
                </dgm:layoutNode>
              </dgm:layoutNode>
              <dgm:layoutNode name="dummya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b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c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1" axis="followSib" ptType="sibTrans" hideLastTrans="0" cnt="1">
                <dgm:layoutNode name="singleconn" styleLbl="sibTrans2D1">
                  <dgm:alg type="conn">
                    <dgm:param type="connRout" val="longCurve"/>
                    <dgm:param type="begPts" val="bCtr"/>
                    <dgm:param type="endPts" val="tCtr"/>
                    <dgm:param type="begSty" val="noArr"/>
                    <dgm:param type="endSty" val="noArr"/>
                    <dgm:param type="srcNode" val="dummyConnPt"/>
                    <dgm:param type="dstNode" val="dummyConnPt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else name="Name25"/>
          </dgm:choose>
        </dgm:forEach>
      </dgm:forEach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radial6">
  <dgm:title val=""/>
  <dgm:desc val=""/>
  <dgm:catLst>
    <dgm:cat type="cycle" pri="9000"/>
    <dgm:cat type="relationship" pri="21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  <dgm:pt modelId="14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  <dgm:cxn modelId="6" srcId="1" destId="14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13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Name0">
    <dgm:varLst>
      <dgm:chMax val="1"/>
      <dgm:dir/>
      <dgm:animLvl val="ctr"/>
      <dgm:resizeHandles val="exact"/>
    </dgm:varLst>
    <dgm:choose name="Name1">
      <dgm:if name="Name2" func="var" arg="dir" op="equ" val="norm">
        <dgm:choose name="Name3">
          <dgm:if name="Name4" axis="ch ch" ptType="node node" st="1 1" cnt="1 0" func="cnt" op="lte" val="1">
            <dgm:alg type="cycle">
              <dgm:param type="stAng" val="90"/>
              <dgm:param type="spanAng" val="360"/>
              <dgm:param type="ctrShpMap" val="fNode"/>
            </dgm:alg>
          </dgm:if>
          <dgm:else name="Name5">
            <dgm:alg type="cycle">
              <dgm:param type="stAng" val="0"/>
              <dgm:param type="spanAng" val="360"/>
              <dgm:param type="ctrShpMap" val="fNode"/>
            </dgm:alg>
          </dgm:else>
        </dgm:choose>
      </dgm:if>
      <dgm:else name="Name6">
        <dgm:choose name="Name7">
          <dgm:if name="Name8" axis="ch ch" ptType="node node" st="1 1" cnt="1 0" func="cnt" op="lte" val="1">
            <dgm:alg type="cycle">
              <dgm:param type="stAng" val="-90"/>
              <dgm:param type="spanAng" val="360"/>
              <dgm:param type="ctrShpMap" val="fNode"/>
            </dgm:alg>
          </dgm:if>
          <dgm:else name="Name9">
            <dgm:alg type="cycle">
              <dgm:param type="stAng" val="0"/>
              <dgm:param type="spanAng" val="-360"/>
              <dgm:param type="ctrShpMap" val="fNode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10">
      <dgm:if name="Name11" func="var" arg="dir" op="equ" val="norm">
        <dgm:choose name="Name12">
          <dgm:if name="Name13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des" forName="oneNode" refType="primFontSz" refFor="ch" refForName="centerShape" op="lte" fact="0.95"/>
              <dgm:constr type="diam" for="ch" forName="singleconn" refType="diam" op="equ" fact="-1"/>
              <dgm:constr type="h" for="ch" forName="singleconn" refType="w" refFor="ch" refForName="oneComp" fact="0.24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4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forName="sibTrans" refType="diam" op="equ"/>
              <dgm:constr type="h" for="ch" forName="sibTrans" refType="w" refFor="ch" refForName="node" fact="0.24"/>
              <dgm:constr type="w" for="ch" forName="dummy" val="1"/>
            </dgm:constrLst>
          </dgm:else>
        </dgm:choose>
      </dgm:if>
      <dgm:else name="Name15">
        <dgm:choose name="Name16">
          <dgm:if name="Name17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ch" forName="oneNode" refType="primFontSz" refFor="ch" refForName="centerShape" op="lte" fact="0.95"/>
              <dgm:constr type="diam" for="ch" forName="singleconn" refType="diam"/>
              <dgm:constr type="h" for="ch" forName="singleconn" refType="w" refFor="ch" refForName="oneComp" fact="0.24"/>
              <dgm:constr type="diam" for="ch" refType="diam" op="equ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8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ptType="sibTrans" refType="diam" fact="-1"/>
              <dgm:constr type="h" for="ch" forName="sibTrans" refType="w" refFor="ch" refForName="node" fact="0.24"/>
              <dgm:constr type="diam" for="ch" refType="diam" op="equ" fact="-1"/>
              <dgm:constr type="w" for="ch" forName="dummy" val="1"/>
            </dgm:constrLst>
          </dgm:else>
        </dgm:choose>
      </dgm:else>
    </dgm:choose>
    <dgm:ruleLst>
      <dgm:rule type="diam" val="INF" fact="NaN" max="NaN"/>
    </dgm:ruleLst>
    <dgm:forEach name="Name19" axis="ch" ptType="node" cnt="1">
      <dgm:layoutNode name="centerShape" styleLbl="node0">
        <dgm:alg type="tx"/>
        <dgm:shape xmlns:r="http://schemas.openxmlformats.org/officeDocument/2006/relationships" type="ellipse" r:blip="">
          <dgm:adjLst/>
        </dgm:shape>
        <dgm:presOf axis="self"/>
        <dgm:constrLst>
          <dgm:constr type="h" refType="w"/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forEach name="Name20" axis="ch">
        <dgm:forEach name="Name21" axis="self" ptType="node">
          <dgm:choose name="Name22">
            <dgm:if name="Name23" axis="par ch" ptType="node node" func="cnt" op="gt" val="1">
              <dgm:layoutNode name="node" styleLbl="node1">
                <dgm:varLst>
                  <dgm:bulletEnabled val="1"/>
                </dgm:varLst>
                <dgm:alg type="tx">
                  <dgm:param type="txAnchorVertCh" val="mid"/>
                </dgm:alg>
                <dgm:shape xmlns:r="http://schemas.openxmlformats.org/officeDocument/2006/relationships" type="ellipse" r:blip="">
                  <dgm:adjLst/>
                </dgm:shape>
                <dgm:presOf axis="desOrSelf" ptType="node"/>
                <dgm:constrLst>
                  <dgm:constr type="h" refType="w"/>
                  <dgm:constr type="tMarg" refType="primFontSz" fact="0.1"/>
                  <dgm:constr type="bMarg" refType="primFontSz" fact="0.1"/>
                  <dgm:constr type="lMarg" refType="primFontSz" fact="0.1"/>
                  <dgm:constr type="rMarg" refType="primFontSz" fact="0.1"/>
                </dgm:constrLst>
                <dgm:ruleLst>
                  <dgm:rule type="primFontSz" val="5" fact="NaN" max="NaN"/>
                </dgm:ruleLst>
              </dgm:layoutNode>
              <dgm:layoutNode name="dummy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" axis="followSib" ptType="sibTrans" hideLastTrans="0" cnt="1">
                <dgm:layoutNode name="sibTrans" styleLbl="sibTrans2D1">
                  <dgm:alg type="conn">
                    <dgm:param type="connRout" val="curve"/>
                    <dgm:param type="begPts" val="ctr"/>
                    <dgm:param type="endPts" val="ctr"/>
                    <dgm:param type="begSty" val="noArr"/>
                    <dgm:param type="endSty" val="noArr"/>
                    <dgm:param type="dstNode" val="node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if name="Name24" axis="par ch" ptType="node node" func="cnt" op="equ" val="1">
              <dgm:layoutNode name="oneComp">
                <dgm:alg type="composite">
                  <dgm:param type="ar" val="1"/>
                </dgm:alg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  <dgm:constr type="l" for="ch" forName="dummyConnPt" refType="w" fact="0.5"/>
                  <dgm:constr type="t" for="ch" forName="dummyConnPt" refType="w" fact="0.5"/>
                  <dgm:constr type="l" for="ch" forName="oneNode"/>
                  <dgm:constr type="t" for="ch" forName="oneNode"/>
                  <dgm:constr type="h" for="ch" forName="oneNode" refType="h"/>
                  <dgm:constr type="w" for="ch" forName="oneNode" refType="w"/>
                </dgm:constrLst>
                <dgm:ruleLst/>
                <dgm:layoutNode name="dummyConnPt" styleLbl="node1">
                  <dgm:alg type="sp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val="1"/>
                    <dgm:constr type="h" val="1"/>
                  </dgm:constrLst>
                  <dgm:ruleLst/>
                </dgm:layoutNode>
                <dgm:layoutNode name="oneNode" styleLbl="node1">
                  <dgm:varLst>
                    <dgm:bulletEnabled val="1"/>
                  </dgm:varLst>
                  <dgm:alg type="tx">
                    <dgm:param type="txAnchorVertCh" val="mid"/>
                  </dgm:alg>
                  <dgm:shape xmlns:r="http://schemas.openxmlformats.org/officeDocument/2006/relationships" type="ellipse" r:blip="">
                    <dgm:adjLst/>
                  </dgm:shape>
                  <dgm:presOf axis="desOrSelf" ptType="node"/>
                  <dgm:constrLst>
                    <dgm:constr type="h" refType="w"/>
                    <dgm:constr type="tMarg" refType="primFontSz" fact="0.1"/>
                    <dgm:constr type="bMarg" refType="primFontSz" fact="0.1"/>
                    <dgm:constr type="lMarg" refType="primFontSz" fact="0.1"/>
                    <dgm:constr type="rMarg" refType="primFontSz" fact="0.1"/>
                  </dgm:constrLst>
                  <dgm:ruleLst>
                    <dgm:rule type="primFontSz" val="5" fact="NaN" max="NaN"/>
                  </dgm:ruleLst>
                </dgm:layoutNode>
              </dgm:layoutNode>
              <dgm:layoutNode name="dummya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b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c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1" axis="followSib" ptType="sibTrans" hideLastTrans="0" cnt="1">
                <dgm:layoutNode name="singleconn" styleLbl="sibTrans2D1">
                  <dgm:alg type="conn">
                    <dgm:param type="connRout" val="longCurve"/>
                    <dgm:param type="begPts" val="bCtr"/>
                    <dgm:param type="endPts" val="tCtr"/>
                    <dgm:param type="begSty" val="noArr"/>
                    <dgm:param type="endSty" val="noArr"/>
                    <dgm:param type="srcNode" val="dummyConnPt"/>
                    <dgm:param type="dstNode" val="dummyConnPt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else name="Name25"/>
          </dgm:choose>
        </dgm:forEach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Data" Target="../diagrams/data2.xml"/><Relationship Id="rId13" Type="http://schemas.openxmlformats.org/officeDocument/2006/relationships/diagramData" Target="../diagrams/data3.xml"/><Relationship Id="rId18" Type="http://schemas.openxmlformats.org/officeDocument/2006/relationships/hyperlink" Target="#Cockpit!A1"/><Relationship Id="rId26" Type="http://schemas.openxmlformats.org/officeDocument/2006/relationships/diagramQuickStyle" Target="../diagrams/quickStyle5.xml"/><Relationship Id="rId3" Type="http://schemas.openxmlformats.org/officeDocument/2006/relationships/diagramData" Target="../diagrams/data1.xml"/><Relationship Id="rId21" Type="http://schemas.openxmlformats.org/officeDocument/2006/relationships/diagramQuickStyle" Target="../diagrams/quickStyle4.xml"/><Relationship Id="rId7" Type="http://schemas.microsoft.com/office/2007/relationships/diagramDrawing" Target="../diagrams/drawing1.xml"/><Relationship Id="rId12" Type="http://schemas.microsoft.com/office/2007/relationships/diagramDrawing" Target="../diagrams/drawing2.xml"/><Relationship Id="rId17" Type="http://schemas.microsoft.com/office/2007/relationships/diagramDrawing" Target="../diagrams/drawing3.xml"/><Relationship Id="rId25" Type="http://schemas.openxmlformats.org/officeDocument/2006/relationships/diagramLayout" Target="../diagrams/layout5.xml"/><Relationship Id="rId2" Type="http://schemas.openxmlformats.org/officeDocument/2006/relationships/image" Target="../media/image1.png"/><Relationship Id="rId16" Type="http://schemas.openxmlformats.org/officeDocument/2006/relationships/diagramColors" Target="../diagrams/colors3.xml"/><Relationship Id="rId20" Type="http://schemas.openxmlformats.org/officeDocument/2006/relationships/diagramLayout" Target="../diagrams/layout4.xml"/><Relationship Id="rId1" Type="http://schemas.openxmlformats.org/officeDocument/2006/relationships/hyperlink" Target="#'Volumes &amp; Revenue'!A1"/><Relationship Id="rId6" Type="http://schemas.openxmlformats.org/officeDocument/2006/relationships/diagramColors" Target="../diagrams/colors1.xml"/><Relationship Id="rId11" Type="http://schemas.openxmlformats.org/officeDocument/2006/relationships/diagramColors" Target="../diagrams/colors2.xml"/><Relationship Id="rId24" Type="http://schemas.openxmlformats.org/officeDocument/2006/relationships/diagramData" Target="../diagrams/data5.xml"/><Relationship Id="rId5" Type="http://schemas.openxmlformats.org/officeDocument/2006/relationships/diagramQuickStyle" Target="../diagrams/quickStyle1.xml"/><Relationship Id="rId15" Type="http://schemas.openxmlformats.org/officeDocument/2006/relationships/diagramQuickStyle" Target="../diagrams/quickStyle3.xml"/><Relationship Id="rId23" Type="http://schemas.microsoft.com/office/2007/relationships/diagramDrawing" Target="../diagrams/drawing4.xml"/><Relationship Id="rId28" Type="http://schemas.microsoft.com/office/2007/relationships/diagramDrawing" Target="../diagrams/drawing5.xml"/><Relationship Id="rId10" Type="http://schemas.openxmlformats.org/officeDocument/2006/relationships/diagramQuickStyle" Target="../diagrams/quickStyle2.xml"/><Relationship Id="rId19" Type="http://schemas.openxmlformats.org/officeDocument/2006/relationships/diagramData" Target="../diagrams/data4.xml"/><Relationship Id="rId4" Type="http://schemas.openxmlformats.org/officeDocument/2006/relationships/diagramLayout" Target="../diagrams/layout1.xml"/><Relationship Id="rId9" Type="http://schemas.openxmlformats.org/officeDocument/2006/relationships/diagramLayout" Target="../diagrams/layout2.xml"/><Relationship Id="rId14" Type="http://schemas.openxmlformats.org/officeDocument/2006/relationships/diagramLayout" Target="../diagrams/layout3.xml"/><Relationship Id="rId22" Type="http://schemas.openxmlformats.org/officeDocument/2006/relationships/diagramColors" Target="../diagrams/colors4.xml"/><Relationship Id="rId27" Type="http://schemas.openxmlformats.org/officeDocument/2006/relationships/diagramColors" Target="../diagrams/colors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Agenda!A1"/><Relationship Id="rId2" Type="http://schemas.openxmlformats.org/officeDocument/2006/relationships/image" Target="../media/image1.png"/><Relationship Id="rId1" Type="http://schemas.openxmlformats.org/officeDocument/2006/relationships/image" Target="../media/image2.png"/><Relationship Id="rId4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Agenda!A1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Agend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50</xdr:row>
      <xdr:rowOff>88900</xdr:rowOff>
    </xdr:from>
    <xdr:to>
      <xdr:col>4</xdr:col>
      <xdr:colOff>292100</xdr:colOff>
      <xdr:row>54</xdr:row>
      <xdr:rowOff>95250</xdr:rowOff>
    </xdr:to>
    <xdr:sp macro="[0]!Macro1" textlink="">
      <xdr:nvSpPr>
        <xdr:cNvPr id="8" name="Losang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676400" y="2647950"/>
          <a:ext cx="1993900" cy="793750"/>
        </a:xfrm>
        <a:prstGeom prst="diamond">
          <a:avLst/>
        </a:prstGeom>
        <a:solidFill>
          <a:srgbClr val="FFFF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r-FR" sz="1100">
              <a:solidFill>
                <a:schemeClr val="tx1"/>
              </a:solidFill>
            </a:rPr>
            <a:t>Revenue:</a:t>
          </a:r>
        </a:p>
        <a:p>
          <a:pPr algn="ctr"/>
          <a:r>
            <a:rPr lang="fr-FR" sz="1100">
              <a:solidFill>
                <a:schemeClr val="tx1"/>
              </a:solidFill>
            </a:rPr>
            <a:t>Volumes &amp; prices</a:t>
          </a:r>
        </a:p>
      </xdr:txBody>
    </xdr:sp>
    <xdr:clientData/>
  </xdr:twoCellAnchor>
  <xdr:twoCellAnchor>
    <xdr:from>
      <xdr:col>2</xdr:col>
      <xdr:colOff>177800</xdr:colOff>
      <xdr:row>54</xdr:row>
      <xdr:rowOff>146050</xdr:rowOff>
    </xdr:from>
    <xdr:to>
      <xdr:col>4</xdr:col>
      <xdr:colOff>317500</xdr:colOff>
      <xdr:row>56</xdr:row>
      <xdr:rowOff>101600</xdr:rowOff>
    </xdr:to>
    <xdr:sp macro="[0]!Macro4" textlink="">
      <xdr:nvSpPr>
        <xdr:cNvPr id="9" name="Rectangle : avec coin rogné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54200" y="3492500"/>
          <a:ext cx="1841500" cy="349250"/>
        </a:xfrm>
        <a:prstGeom prst="snip1Rect">
          <a:avLst/>
        </a:prstGeom>
        <a:solidFill>
          <a:srgbClr val="FF0000"/>
        </a:solidFill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fr-FR" sz="1100" b="0" cap="none" spc="0">
              <a:ln w="0">
                <a:solidFill>
                  <a:schemeClr val="bg1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Fuel costs</a:t>
          </a:r>
        </a:p>
      </xdr:txBody>
    </xdr:sp>
    <xdr:clientData/>
  </xdr:twoCellAnchor>
  <xdr:twoCellAnchor>
    <xdr:from>
      <xdr:col>2</xdr:col>
      <xdr:colOff>171450</xdr:colOff>
      <xdr:row>56</xdr:row>
      <xdr:rowOff>184150</xdr:rowOff>
    </xdr:from>
    <xdr:to>
      <xdr:col>3</xdr:col>
      <xdr:colOff>387350</xdr:colOff>
      <xdr:row>58</xdr:row>
      <xdr:rowOff>114300</xdr:rowOff>
    </xdr:to>
    <xdr:sp macro="[0]!Macro6" textlink="">
      <xdr:nvSpPr>
        <xdr:cNvPr id="10" name="Rectangle : avec coin rogné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847850" y="3924300"/>
          <a:ext cx="1066800" cy="323850"/>
        </a:xfrm>
        <a:prstGeom prst="snip1Rect">
          <a:avLst/>
        </a:prstGeom>
        <a:solidFill>
          <a:schemeClr val="accent5">
            <a:lumMod val="75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fr-FR" sz="1400"/>
            <a:t>Crew </a:t>
          </a:r>
        </a:p>
      </xdr:txBody>
    </xdr:sp>
    <xdr:clientData/>
  </xdr:twoCellAnchor>
  <xdr:twoCellAnchor>
    <xdr:from>
      <xdr:col>2</xdr:col>
      <xdr:colOff>139700</xdr:colOff>
      <xdr:row>60</xdr:row>
      <xdr:rowOff>165100</xdr:rowOff>
    </xdr:from>
    <xdr:to>
      <xdr:col>4</xdr:col>
      <xdr:colOff>88900</xdr:colOff>
      <xdr:row>62</xdr:row>
      <xdr:rowOff>95250</xdr:rowOff>
    </xdr:to>
    <xdr:sp macro="[0]!Macro7" textlink="">
      <xdr:nvSpPr>
        <xdr:cNvPr id="11" name="Rectangle : avec coin rogné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816100" y="4692650"/>
          <a:ext cx="1651000" cy="323850"/>
        </a:xfrm>
        <a:prstGeom prst="snip1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fr-FR" sz="1400"/>
            <a:t>Other costs</a:t>
          </a:r>
        </a:p>
      </xdr:txBody>
    </xdr:sp>
    <xdr:clientData/>
  </xdr:twoCellAnchor>
  <xdr:twoCellAnchor>
    <xdr:from>
      <xdr:col>2</xdr:col>
      <xdr:colOff>177800</xdr:colOff>
      <xdr:row>58</xdr:row>
      <xdr:rowOff>171450</xdr:rowOff>
    </xdr:from>
    <xdr:to>
      <xdr:col>3</xdr:col>
      <xdr:colOff>825500</xdr:colOff>
      <xdr:row>60</xdr:row>
      <xdr:rowOff>88900</xdr:rowOff>
    </xdr:to>
    <xdr:sp macro="[0]!Macro8" textlink="">
      <xdr:nvSpPr>
        <xdr:cNvPr id="12" name="Rectangle : avec coin rogné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854200" y="4305300"/>
          <a:ext cx="1498600" cy="311150"/>
        </a:xfrm>
        <a:prstGeom prst="snip1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fr-FR" sz="1400"/>
            <a:t>Rent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529874</xdr:colOff>
      <xdr:row>5</xdr:row>
      <xdr:rowOff>3210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355374" cy="1008627"/>
        </a:xfrm>
        <a:prstGeom prst="rect">
          <a:avLst/>
        </a:prstGeom>
      </xdr:spPr>
    </xdr:pic>
    <xdr:clientData/>
  </xdr:twoCellAnchor>
  <xdr:twoCellAnchor>
    <xdr:from>
      <xdr:col>0</xdr:col>
      <xdr:colOff>357187</xdr:colOff>
      <xdr:row>44</xdr:row>
      <xdr:rowOff>171450</xdr:rowOff>
    </xdr:from>
    <xdr:to>
      <xdr:col>2</xdr:col>
      <xdr:colOff>111125</xdr:colOff>
      <xdr:row>47</xdr:row>
      <xdr:rowOff>155575</xdr:rowOff>
    </xdr:to>
    <xdr:sp macro="[0]!Macro20" textlink="">
      <xdr:nvSpPr>
        <xdr:cNvPr id="21" name="Tri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57187" y="1549400"/>
          <a:ext cx="1430338" cy="574675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COCKPIT</a:t>
          </a:r>
        </a:p>
      </xdr:txBody>
    </xdr:sp>
    <xdr:clientData/>
  </xdr:twoCellAnchor>
  <xdr:twoCellAnchor>
    <xdr:from>
      <xdr:col>6</xdr:col>
      <xdr:colOff>468312</xdr:colOff>
      <xdr:row>45</xdr:row>
      <xdr:rowOff>127000</xdr:rowOff>
    </xdr:from>
    <xdr:to>
      <xdr:col>8</xdr:col>
      <xdr:colOff>452437</xdr:colOff>
      <xdr:row>47</xdr:row>
      <xdr:rowOff>171450</xdr:rowOff>
    </xdr:to>
    <xdr:sp macro="[0]!Macro22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056312" y="1701800"/>
          <a:ext cx="1685925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Break Even point</a:t>
          </a:r>
        </a:p>
      </xdr:txBody>
    </xdr:sp>
    <xdr:clientData/>
  </xdr:twoCellAnchor>
  <xdr:twoCellAnchor>
    <xdr:from>
      <xdr:col>2</xdr:col>
      <xdr:colOff>500063</xdr:colOff>
      <xdr:row>45</xdr:row>
      <xdr:rowOff>120650</xdr:rowOff>
    </xdr:from>
    <xdr:to>
      <xdr:col>4</xdr:col>
      <xdr:colOff>165100</xdr:colOff>
      <xdr:row>47</xdr:row>
      <xdr:rowOff>174624</xdr:rowOff>
    </xdr:to>
    <xdr:sp macro="[0]!Macro24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176463" y="1695450"/>
          <a:ext cx="1366837" cy="4476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Income Statement</a:t>
          </a:r>
        </a:p>
        <a:p>
          <a:pPr algn="ctr"/>
          <a:r>
            <a:rPr lang="fr-FR" sz="1100" b="1" baseline="0"/>
            <a:t>F900</a:t>
          </a:r>
          <a:endParaRPr lang="fr-FR" sz="1100" b="1"/>
        </a:p>
      </xdr:txBody>
    </xdr:sp>
    <xdr:clientData/>
  </xdr:twoCellAnchor>
  <xdr:twoCellAnchor>
    <xdr:from>
      <xdr:col>8</xdr:col>
      <xdr:colOff>754063</xdr:colOff>
      <xdr:row>45</xdr:row>
      <xdr:rowOff>47625</xdr:rowOff>
    </xdr:from>
    <xdr:to>
      <xdr:col>11</xdr:col>
      <xdr:colOff>373063</xdr:colOff>
      <xdr:row>48</xdr:row>
      <xdr:rowOff>73025</xdr:rowOff>
    </xdr:to>
    <xdr:sp macro="[0]!Macro23" textlink="">
      <xdr:nvSpPr>
        <xdr:cNvPr id="18" name="Ellips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043863" y="1622425"/>
          <a:ext cx="2171700" cy="615950"/>
        </a:xfrm>
        <a:prstGeom prst="ellipse">
          <a:avLst/>
        </a:prstGeom>
        <a:solidFill>
          <a:srgbClr val="00B050"/>
        </a:solidFill>
        <a:ln>
          <a:solidFill>
            <a:schemeClr val="accent4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r-FR" sz="1400"/>
            <a:t>Project's value</a:t>
          </a:r>
        </a:p>
      </xdr:txBody>
    </xdr:sp>
    <xdr:clientData/>
  </xdr:twoCellAnchor>
  <xdr:twoCellAnchor>
    <xdr:from>
      <xdr:col>4</xdr:col>
      <xdr:colOff>398462</xdr:colOff>
      <xdr:row>45</xdr:row>
      <xdr:rowOff>119063</xdr:rowOff>
    </xdr:from>
    <xdr:to>
      <xdr:col>6</xdr:col>
      <xdr:colOff>287337</xdr:colOff>
      <xdr:row>47</xdr:row>
      <xdr:rowOff>177800</xdr:rowOff>
    </xdr:to>
    <xdr:sp macro="[0]!Macro21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776662" y="1693863"/>
          <a:ext cx="2098675" cy="45243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Income Statement</a:t>
          </a:r>
        </a:p>
        <a:p>
          <a:pPr algn="ctr"/>
          <a:r>
            <a:rPr lang="fr-FR" sz="1100" b="1" baseline="0"/>
            <a:t>Mix F900 &amp; F900+ from year 4</a:t>
          </a:r>
          <a:endParaRPr lang="fr-FR" sz="1100" b="1"/>
        </a:p>
      </xdr:txBody>
    </xdr:sp>
    <xdr:clientData/>
  </xdr:twoCellAnchor>
  <xdr:twoCellAnchor>
    <xdr:from>
      <xdr:col>6</xdr:col>
      <xdr:colOff>346074</xdr:colOff>
      <xdr:row>52</xdr:row>
      <xdr:rowOff>131232</xdr:rowOff>
    </xdr:from>
    <xdr:to>
      <xdr:col>9</xdr:col>
      <xdr:colOff>6349</xdr:colOff>
      <xdr:row>54</xdr:row>
      <xdr:rowOff>76200</xdr:rowOff>
    </xdr:to>
    <xdr:sp macro="[0]!Macro25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42541" y="3052232"/>
          <a:ext cx="2225675" cy="334435"/>
        </a:xfrm>
        <a:prstGeom prst="roundRect">
          <a:avLst>
            <a:gd name="adj" fmla="val 0"/>
          </a:avLst>
        </a:prstGeom>
        <a:solidFill>
          <a:srgbClr val="E37D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Financing</a:t>
          </a:r>
          <a:r>
            <a:rPr lang="fr-FR" sz="1100" b="1" baseline="0"/>
            <a:t> Package</a:t>
          </a:r>
          <a:endParaRPr lang="fr-FR" sz="1100" b="1"/>
        </a:p>
      </xdr:txBody>
    </xdr:sp>
    <xdr:clientData/>
  </xdr:twoCellAnchor>
  <xdr:twoCellAnchor>
    <xdr:from>
      <xdr:col>0</xdr:col>
      <xdr:colOff>88193</xdr:colOff>
      <xdr:row>5</xdr:row>
      <xdr:rowOff>32455</xdr:rowOff>
    </xdr:from>
    <xdr:to>
      <xdr:col>5</xdr:col>
      <xdr:colOff>589845</xdr:colOff>
      <xdr:row>33</xdr:row>
      <xdr:rowOff>136877</xdr:rowOff>
    </xdr:to>
    <xdr:graphicFrame macro="">
      <xdr:nvGraphicFramePr>
        <xdr:cNvPr id="27" name="Diagram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" r:lo="rId4" r:qs="rId5" r:cs="rId6"/>
        </a:graphicData>
      </a:graphic>
    </xdr:graphicFrame>
    <xdr:clientData/>
  </xdr:twoCellAnchor>
  <xdr:twoCellAnchor>
    <xdr:from>
      <xdr:col>5</xdr:col>
      <xdr:colOff>1028700</xdr:colOff>
      <xdr:row>5</xdr:row>
      <xdr:rowOff>50800</xdr:rowOff>
    </xdr:from>
    <xdr:to>
      <xdr:col>11</xdr:col>
      <xdr:colOff>146052</xdr:colOff>
      <xdr:row>33</xdr:row>
      <xdr:rowOff>156634</xdr:rowOff>
    </xdr:to>
    <xdr:graphicFrame macro="">
      <xdr:nvGraphicFramePr>
        <xdr:cNvPr id="30" name="Diagra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8" r:lo="rId9" r:qs="rId10" r:cs="rId11"/>
        </a:graphicData>
      </a:graphic>
    </xdr:graphicFrame>
    <xdr:clientData/>
  </xdr:twoCellAnchor>
  <xdr:twoCellAnchor>
    <xdr:from>
      <xdr:col>11</xdr:col>
      <xdr:colOff>482600</xdr:colOff>
      <xdr:row>5</xdr:row>
      <xdr:rowOff>25400</xdr:rowOff>
    </xdr:from>
    <xdr:to>
      <xdr:col>17</xdr:col>
      <xdr:colOff>152402</xdr:colOff>
      <xdr:row>33</xdr:row>
      <xdr:rowOff>131234</xdr:rowOff>
    </xdr:to>
    <xdr:graphicFrame macro="">
      <xdr:nvGraphicFramePr>
        <xdr:cNvPr id="31" name="Diagram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3" r:lo="rId14" r:qs="rId15" r:cs="rId16"/>
        </a:graphicData>
      </a:graphic>
    </xdr:graphicFrame>
    <xdr:clientData/>
  </xdr:twoCellAnchor>
  <xdr:twoCellAnchor>
    <xdr:from>
      <xdr:col>1</xdr:col>
      <xdr:colOff>749300</xdr:colOff>
      <xdr:row>0</xdr:row>
      <xdr:rowOff>152400</xdr:rowOff>
    </xdr:from>
    <xdr:to>
      <xdr:col>17</xdr:col>
      <xdr:colOff>306917</xdr:colOff>
      <xdr:row>6</xdr:row>
      <xdr:rowOff>63500</xdr:rowOff>
    </xdr:to>
    <xdr:sp macro="" textlink="">
      <xdr:nvSpPr>
        <xdr:cNvPr id="32" name="Oval 3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574800" y="152400"/>
          <a:ext cx="13591117" cy="11176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1">
              <a:solidFill>
                <a:sysClr val="windowText" lastClr="000000"/>
              </a:solidFill>
            </a:rPr>
            <a:t>Cockpit</a:t>
          </a:r>
        </a:p>
      </xdr:txBody>
    </xdr:sp>
    <xdr:clientData/>
  </xdr:twoCellAnchor>
  <xdr:twoCellAnchor>
    <xdr:from>
      <xdr:col>0</xdr:col>
      <xdr:colOff>119943</xdr:colOff>
      <xdr:row>5</xdr:row>
      <xdr:rowOff>32455</xdr:rowOff>
    </xdr:from>
    <xdr:to>
      <xdr:col>5</xdr:col>
      <xdr:colOff>621595</xdr:colOff>
      <xdr:row>33</xdr:row>
      <xdr:rowOff>136877</xdr:rowOff>
    </xdr:to>
    <xdr:graphicFrame macro="">
      <xdr:nvGraphicFramePr>
        <xdr:cNvPr id="33" name="Diagra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9" r:lo="rId20" r:qs="rId21" r:cs="rId22"/>
        </a:graphicData>
      </a:graphic>
    </xdr:graphicFrame>
    <xdr:clientData/>
  </xdr:twoCellAnchor>
  <xdr:twoCellAnchor>
    <xdr:from>
      <xdr:col>11</xdr:col>
      <xdr:colOff>514350</xdr:colOff>
      <xdr:row>5</xdr:row>
      <xdr:rowOff>25400</xdr:rowOff>
    </xdr:from>
    <xdr:to>
      <xdr:col>17</xdr:col>
      <xdr:colOff>184152</xdr:colOff>
      <xdr:row>33</xdr:row>
      <xdr:rowOff>131234</xdr:rowOff>
    </xdr:to>
    <xdr:graphicFrame macro="">
      <xdr:nvGraphicFramePr>
        <xdr:cNvPr id="34" name="Diagram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4" r:lo="rId25" r:qs="rId26" r:cs="rId2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210003</xdr:colOff>
      <xdr:row>43</xdr:row>
      <xdr:rowOff>92760</xdr:rowOff>
    </xdr:from>
    <xdr:to>
      <xdr:col>13</xdr:col>
      <xdr:colOff>72544</xdr:colOff>
      <xdr:row>65</xdr:row>
      <xdr:rowOff>190277</xdr:rowOff>
    </xdr:to>
    <xdr:sp macro="" textlink="">
      <xdr:nvSpPr>
        <xdr:cNvPr id="15" name="Rectangle: Rounded Corners 2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10003" y="12522885"/>
          <a:ext cx="12748505" cy="4438196"/>
        </a:xfrm>
        <a:prstGeom prst="roundRect">
          <a:avLst/>
        </a:prstGeom>
        <a:solidFill>
          <a:srgbClr val="DDD0E3"/>
        </a:solidFill>
        <a:ln>
          <a:solidFill>
            <a:schemeClr val="bg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fr-FR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How to build one-dimension tables</a:t>
          </a:r>
          <a:endParaRPr lang="fr-FR" sz="1800">
            <a:solidFill>
              <a:sysClr val="windowText" lastClr="000000"/>
            </a:solidFill>
            <a:effectLst/>
          </a:endParaRPr>
        </a:p>
        <a:p>
          <a:r>
            <a:rPr lang="fr-FR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 one-dimension tables, you have one INPUT and several OUTPUTS (as many as you want, or as many as Excel will allow).</a:t>
          </a:r>
          <a:endParaRPr lang="fr-FR">
            <a:solidFill>
              <a:sysClr val="windowText" lastClr="000000"/>
            </a:solidFill>
            <a:effectLst/>
          </a:endParaRPr>
        </a:p>
        <a:p>
          <a:r>
            <a:rPr lang="fr-FR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 our exemple, the INPUT is the yellow cell (second row to the right) which identifies each type of aircraft with a number.</a:t>
          </a:r>
          <a:endParaRPr lang="fr-FR">
            <a:solidFill>
              <a:sysClr val="windowText" lastClr="000000"/>
            </a:solidFill>
            <a:effectLst/>
          </a:endParaRPr>
        </a:p>
        <a:p>
          <a:endParaRPr lang="fr-FR" sz="1100" b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For example, we could build a table that identifies the aircraft / fuel type</a:t>
          </a: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with the best profitability and cash flow generation. </a:t>
          </a: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 the first column we would type 1, 2 or 3 (corresponds to Falcon 900, Falcon 900+ standard fuel and Falcon 900+ biofuel )</a:t>
          </a: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We can several OPUTPUTS, one per column:  </a:t>
          </a:r>
          <a:endParaRPr lang="fr-FR">
            <a:solidFill>
              <a:sysClr val="windowText" lastClr="000000"/>
            </a:solidFill>
            <a:effectLst/>
          </a:endParaRP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EBITDA (one column per year)</a:t>
          </a:r>
          <a:endParaRPr lang="fr-FR">
            <a:solidFill>
              <a:sysClr val="windowText" lastClr="000000"/>
            </a:solidFill>
            <a:effectLst/>
          </a:endParaRP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Net cash flows</a:t>
          </a: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Ending cash position</a:t>
          </a: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NPV of net cash flows</a:t>
          </a:r>
          <a:endParaRPr lang="fr-FR">
            <a:solidFill>
              <a:sysClr val="windowText" lastClr="000000"/>
            </a:solidFill>
            <a:effectLst/>
          </a:endParaRP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etc</a:t>
          </a:r>
          <a:endParaRPr lang="fr-FR">
            <a:solidFill>
              <a:sysClr val="windowText" lastClr="000000"/>
            </a:solidFill>
            <a:effectLst/>
          </a:endParaRPr>
        </a:p>
        <a:p>
          <a:endParaRPr lang="fr-FR" sz="1100" b="0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Steps</a:t>
          </a: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1) Prepare your table with the first column (INPUT) being your aircraft / fuel type (number) and then the OUTPUTS (</a:t>
          </a:r>
          <a:r>
            <a:rPr lang="fr-FR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link each cell</a:t>
          </a: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to the Excel cell that calculates the value you want </a:t>
          </a:r>
          <a:endParaRPr lang="fr-FR">
            <a:solidFill>
              <a:sysClr val="windowText" lastClr="000000"/>
            </a:solidFill>
            <a:effectLst/>
          </a:endParaRPr>
        </a:p>
        <a:p>
          <a:r>
            <a:rPr lang="fr-FR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2) Select the table</a:t>
          </a: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(from Active aircraft to the last row and the last column)</a:t>
          </a:r>
          <a:endParaRPr lang="fr-FR">
            <a:solidFill>
              <a:sysClr val="windowText" lastClr="000000"/>
            </a:solidFill>
            <a:effectLst/>
          </a:endParaRP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3) Click on </a:t>
          </a:r>
          <a:r>
            <a:rPr lang="fr-FR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Data&lt;What-if</a:t>
          </a:r>
          <a:r>
            <a:rPr lang="fr-F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analysis&lt;Data tables</a:t>
          </a: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ignore the "row input cell" and enter in the "column input cell"  $P$2</a:t>
          </a:r>
          <a:b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(this is the yellow cell that identifies the aircraft type with a number); then click on OK</a:t>
          </a: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4) For the format, go to </a:t>
          </a:r>
          <a:r>
            <a:rPr lang="fr-F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Home&lt;Conditional Formatting&lt;Color Scales </a:t>
          </a: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and explore :-) </a:t>
          </a:r>
          <a:endParaRPr lang="fr-FR">
            <a:solidFill>
              <a:sysClr val="windowText" lastClr="000000"/>
            </a:solidFill>
            <a:effectLst/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0</xdr:row>
          <xdr:rowOff>152400</xdr:rowOff>
        </xdr:from>
        <xdr:to>
          <xdr:col>4</xdr:col>
          <xdr:colOff>508000</xdr:colOff>
          <xdr:row>0</xdr:row>
          <xdr:rowOff>850900</xdr:rowOff>
        </xdr:to>
        <xdr:sp macro="" textlink="">
          <xdr:nvSpPr>
            <xdr:cNvPr id="15361" name="List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177800</xdr:rowOff>
        </xdr:from>
        <xdr:to>
          <xdr:col>6</xdr:col>
          <xdr:colOff>850900</xdr:colOff>
          <xdr:row>0</xdr:row>
          <xdr:rowOff>863600</xdr:rowOff>
        </xdr:to>
        <xdr:sp macro="" textlink="">
          <xdr:nvSpPr>
            <xdr:cNvPr id="15363" name="List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107</xdr:row>
      <xdr:rowOff>0</xdr:rowOff>
    </xdr:from>
    <xdr:ext cx="9245600" cy="4038600"/>
    <xdr:sp macro="" textlink="">
      <xdr:nvSpPr>
        <xdr:cNvPr id="6" name="TextBox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30200" y="26758900"/>
          <a:ext cx="9245600" cy="4038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100" b="1"/>
            <a:t>How to build one-dimension tables</a:t>
          </a:r>
        </a:p>
        <a:p>
          <a:r>
            <a:rPr lang="fr-FR" sz="1100" b="0"/>
            <a:t>In one-dimension tables, you have one INPUT and several OUTPUTS (as many as you want, or as many as Excel will allow).</a:t>
          </a:r>
        </a:p>
        <a:p>
          <a:r>
            <a:rPr lang="fr-FR" sz="1100" b="0"/>
            <a:t>In our exemple, the INPUT is the yellow cell (second row to the right) which identifies each type of aircraft with a number.</a:t>
          </a:r>
        </a:p>
        <a:p>
          <a:r>
            <a:rPr lang="fr-FR" sz="1100" b="0"/>
            <a:t>We want to build a table that identifies the aircraft type</a:t>
          </a:r>
          <a:r>
            <a:rPr lang="fr-FR" sz="1100" b="0" baseline="0"/>
            <a:t> in the first column (1, 2 or 3), and then has several OPUTPUTS, one per column:  </a:t>
          </a:r>
        </a:p>
        <a:p>
          <a:r>
            <a:rPr lang="fr-FR" sz="1100" b="0" baseline="0"/>
            <a:t>- Aircraft model</a:t>
          </a:r>
        </a:p>
        <a:p>
          <a:r>
            <a:rPr lang="fr-FR" sz="1100" b="0" baseline="0"/>
            <a:t>- EBITDA (one column per year)</a:t>
          </a:r>
        </a:p>
        <a:p>
          <a:r>
            <a:rPr lang="fr-FR" sz="1100" b="0" baseline="0"/>
            <a:t>- Net earnings (one column per year)</a:t>
          </a:r>
        </a:p>
        <a:p>
          <a:r>
            <a:rPr lang="fr-FR" sz="1100" b="0" baseline="0"/>
            <a:t>- NPV</a:t>
          </a:r>
        </a:p>
        <a:p>
          <a:r>
            <a:rPr lang="fr-FR" sz="1100" b="0" baseline="0"/>
            <a:t>- etc</a:t>
          </a:r>
        </a:p>
        <a:p>
          <a:endParaRPr lang="fr-FR" sz="1100" b="0" baseline="0"/>
        </a:p>
        <a:p>
          <a:r>
            <a:rPr lang="fr-FR" sz="1100" b="0" baseline="0"/>
            <a:t>Prepare your table with the first column (INPUT) being your aircraft type (number) and then the OUTPUTS (</a:t>
          </a:r>
          <a:endParaRPr lang="fr-FR">
            <a:effectLst/>
          </a:endParaRPr>
        </a:p>
        <a:p>
          <a:r>
            <a:rPr lang="fr-FR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link each cell</a:t>
          </a:r>
          <a:r>
            <a:rPr lang="fr-FR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to the Excel cell that calculates the value you want; i.e. for 2028 EBITDA you will type </a:t>
          </a:r>
          <a:r>
            <a:rPr lang="fr-F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='P&amp;L'!H16</a:t>
          </a:r>
          <a:r>
            <a:rPr lang="fr-FR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fr-FR" sz="1100" b="0" baseline="0"/>
        </a:p>
        <a:p>
          <a:r>
            <a:rPr lang="fr-FR" sz="1100" b="0" baseline="0"/>
            <a:t> </a:t>
          </a:r>
        </a:p>
        <a:p>
          <a:endParaRPr lang="fr-FR" sz="1100" b="0" baseline="0"/>
        </a:p>
        <a:p>
          <a:endParaRPr lang="fr-FR" sz="1100" b="0" baseline="0"/>
        </a:p>
        <a:p>
          <a:endParaRPr lang="fr-FR" sz="1100" b="0" baseline="0"/>
        </a:p>
        <a:p>
          <a:endParaRPr lang="fr-FR" sz="1100" b="0" baseline="0"/>
        </a:p>
        <a:p>
          <a:endParaRPr lang="fr-FR" sz="1100" b="0" baseline="0"/>
        </a:p>
        <a:p>
          <a:endParaRPr lang="fr-FR" sz="1100" b="0" baseline="0"/>
        </a:p>
        <a:p>
          <a:r>
            <a:rPr lang="fr-FR" sz="1100" b="0"/>
            <a:t>Select the table</a:t>
          </a:r>
          <a:r>
            <a:rPr lang="fr-FR" sz="1100" b="0" baseline="0"/>
            <a:t> (from Active aircraft to the last row and the last column)</a:t>
          </a:r>
        </a:p>
        <a:p>
          <a:r>
            <a:rPr lang="fr-FR" sz="1100" b="0" baseline="0"/>
            <a:t>Click on </a:t>
          </a:r>
          <a:r>
            <a:rPr lang="fr-FR" sz="1100" b="0"/>
            <a:t>Data&lt;What-if</a:t>
          </a:r>
          <a:r>
            <a:rPr lang="fr-FR" sz="1100" b="0" baseline="0"/>
            <a:t> analysis&lt;Data tables and  .</a:t>
          </a:r>
        </a:p>
        <a:p>
          <a:endParaRPr lang="fr-FR" sz="1100" b="0"/>
        </a:p>
      </xdr:txBody>
    </xdr:sp>
    <xdr:clientData/>
  </xdr:oneCellAnchor>
  <xdr:twoCellAnchor editAs="oneCell">
    <xdr:from>
      <xdr:col>3</xdr:col>
      <xdr:colOff>106280</xdr:colOff>
      <xdr:row>52</xdr:row>
      <xdr:rowOff>156183</xdr:rowOff>
    </xdr:from>
    <xdr:to>
      <xdr:col>3</xdr:col>
      <xdr:colOff>1540069</xdr:colOff>
      <xdr:row>57</xdr:row>
      <xdr:rowOff>9782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5976" y="14362040"/>
          <a:ext cx="1433789" cy="8337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4467</xdr:rowOff>
    </xdr:from>
    <xdr:to>
      <xdr:col>1</xdr:col>
      <xdr:colOff>732167</xdr:colOff>
      <xdr:row>4</xdr:row>
      <xdr:rowOff>95250</xdr:rowOff>
    </xdr:to>
    <xdr:pic>
      <xdr:nvPicPr>
        <xdr:cNvPr id="12" name="Image 1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71217"/>
          <a:ext cx="963942" cy="681333"/>
        </a:xfrm>
        <a:prstGeom prst="rect">
          <a:avLst/>
        </a:prstGeom>
      </xdr:spPr>
    </xdr:pic>
    <xdr:clientData/>
  </xdr:twoCellAnchor>
  <xdr:twoCellAnchor>
    <xdr:from>
      <xdr:col>0</xdr:col>
      <xdr:colOff>40411</xdr:colOff>
      <xdr:row>0</xdr:row>
      <xdr:rowOff>40121</xdr:rowOff>
    </xdr:from>
    <xdr:to>
      <xdr:col>1</xdr:col>
      <xdr:colOff>967154</xdr:colOff>
      <xdr:row>0</xdr:row>
      <xdr:rowOff>449385</xdr:rowOff>
    </xdr:to>
    <xdr:sp macro="" textlink="">
      <xdr:nvSpPr>
        <xdr:cNvPr id="3" name="Arrow: Left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0411" y="40121"/>
          <a:ext cx="1151435" cy="409264"/>
        </a:xfrm>
        <a:prstGeom prst="leftArrow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Agenda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0</xdr:row>
          <xdr:rowOff>177800</xdr:rowOff>
        </xdr:from>
        <xdr:to>
          <xdr:col>8</xdr:col>
          <xdr:colOff>914400</xdr:colOff>
          <xdr:row>0</xdr:row>
          <xdr:rowOff>876300</xdr:rowOff>
        </xdr:to>
        <xdr:sp macro="" textlink="">
          <xdr:nvSpPr>
            <xdr:cNvPr id="15365" name="List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534230</xdr:colOff>
      <xdr:row>1</xdr:row>
      <xdr:rowOff>83506</xdr:rowOff>
    </xdr:from>
    <xdr:to>
      <xdr:col>9</xdr:col>
      <xdr:colOff>517926</xdr:colOff>
      <xdr:row>15</xdr:row>
      <xdr:rowOff>98778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903008" y="1085395"/>
          <a:ext cx="9028918" cy="2781050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0">
              <a:solidFill>
                <a:schemeClr val="bg1"/>
              </a:solidFill>
            </a:rPr>
            <a:t>The LightFlight business plan has the following structure:</a:t>
          </a:r>
        </a:p>
        <a:p>
          <a:pPr algn="l"/>
          <a:endParaRPr lang="en-GB" sz="1100" b="0">
            <a:solidFill>
              <a:schemeClr val="bg1"/>
            </a:solidFill>
          </a:endParaRPr>
        </a:p>
        <a:p>
          <a:pPr algn="l"/>
          <a:r>
            <a:rPr lang="en-GB" sz="1100" b="0" u="sng">
              <a:solidFill>
                <a:schemeClr val="bg1"/>
              </a:solidFill>
            </a:rPr>
            <a:t>- </a:t>
          </a:r>
          <a:r>
            <a:rPr lang="en-GB" sz="1100" b="1" u="sng">
              <a:solidFill>
                <a:srgbClr val="DDD0E3"/>
              </a:solidFill>
            </a:rPr>
            <a:t>Aircraft type</a:t>
          </a:r>
          <a:r>
            <a:rPr lang="en-GB" sz="1100" b="0">
              <a:solidFill>
                <a:schemeClr val="bg1"/>
              </a:solidFill>
            </a:rPr>
            <a:t>: the founders can choose between two aircraft types and two different fuel</a:t>
          </a:r>
          <a:r>
            <a:rPr lang="en-GB" sz="1100" b="0" baseline="0">
              <a:solidFill>
                <a:schemeClr val="bg1"/>
              </a:solidFill>
            </a:rPr>
            <a:t> types</a:t>
          </a:r>
          <a:r>
            <a:rPr lang="en-GB" sz="1100" b="0">
              <a:solidFill>
                <a:schemeClr val="bg1"/>
              </a:solidFill>
            </a:rPr>
            <a:t>.</a:t>
          </a:r>
          <a:r>
            <a:rPr lang="en-GB" sz="1100" b="0" baseline="0">
              <a:solidFill>
                <a:schemeClr val="bg1"/>
              </a:solidFill>
            </a:rPr>
            <a:t> </a:t>
          </a:r>
          <a:r>
            <a:rPr lang="en-GB" sz="1100" b="0">
              <a:solidFill>
                <a:schemeClr val="bg1"/>
              </a:solidFill>
            </a:rPr>
            <a:t>The aircraft</a:t>
          </a:r>
          <a:r>
            <a:rPr lang="en-GB" sz="1100" b="0" baseline="0">
              <a:solidFill>
                <a:schemeClr val="bg1"/>
              </a:solidFill>
            </a:rPr>
            <a:t> choice is related to efficiency and fuel consumption, two important factors regarding profitability and ESG considerations.</a:t>
          </a:r>
          <a:endParaRPr lang="en-GB" sz="1100" b="0">
            <a:solidFill>
              <a:schemeClr val="bg1"/>
            </a:solidFill>
          </a:endParaRPr>
        </a:p>
        <a:p>
          <a:pPr algn="l"/>
          <a:endParaRPr lang="en-GB" sz="1100" b="0">
            <a:solidFill>
              <a:schemeClr val="bg1"/>
            </a:solidFill>
          </a:endParaRPr>
        </a:p>
        <a:p>
          <a:pPr algn="l"/>
          <a:r>
            <a:rPr lang="en-GB" sz="1100" b="0">
              <a:solidFill>
                <a:schemeClr val="bg1"/>
              </a:solidFill>
            </a:rPr>
            <a:t>- </a:t>
          </a:r>
          <a:r>
            <a:rPr lang="en-GB" sz="1100" b="1" u="sng">
              <a:solidFill>
                <a:schemeClr val="bg1"/>
              </a:solidFill>
            </a:rPr>
            <a:t>Fuel</a:t>
          </a:r>
          <a:r>
            <a:rPr lang="en-GB" sz="1100" b="0" baseline="0">
              <a:solidFill>
                <a:schemeClr val="bg1"/>
              </a:solidFill>
            </a:rPr>
            <a:t> is one of the most significant cost in the business plan mainly because it </a:t>
          </a:r>
          <a:r>
            <a:rPr lang="en-GB" sz="1100" b="1" baseline="0">
              <a:solidFill>
                <a:srgbClr val="FF0000"/>
              </a:solidFill>
            </a:rPr>
            <a:t>changes </a:t>
          </a:r>
          <a:r>
            <a:rPr lang="en-GB" sz="1100" b="0" baseline="0">
              <a:solidFill>
                <a:schemeClr val="bg1"/>
              </a:solidFill>
            </a:rPr>
            <a:t>with the aircraft choice and market conditions. Regarding </a:t>
          </a:r>
          <a:r>
            <a:rPr lang="en-GB" sz="1100" b="1" baseline="0">
              <a:solidFill>
                <a:srgbClr val="DDD0E3"/>
              </a:solidFill>
            </a:rPr>
            <a:t>market conditions</a:t>
          </a:r>
          <a:r>
            <a:rPr lang="en-GB" sz="1100" b="0" baseline="0">
              <a:solidFill>
                <a:schemeClr val="bg1"/>
              </a:solidFill>
            </a:rPr>
            <a:t>, two important factors affect the fuel price: </a:t>
          </a:r>
        </a:p>
        <a:p>
          <a:pPr algn="l"/>
          <a:r>
            <a:rPr lang="en-GB" sz="1100" b="0" baseline="0">
              <a:solidFill>
                <a:schemeClr val="bg1"/>
              </a:solidFill>
            </a:rPr>
            <a:t>   1. Since fuel is manufactured from Oil, fuel cost depends on the oil prices evolution (in dollars $)</a:t>
          </a:r>
        </a:p>
        <a:p>
          <a:pPr algn="l"/>
          <a:r>
            <a:rPr lang="en-GB" sz="1100" b="0" baseline="0">
              <a:solidFill>
                <a:schemeClr val="bg1"/>
              </a:solidFill>
            </a:rPr>
            <a:t>   2. Fuel is purchased in dollars $; since our financials are in euros €, fuel cost will thus be dependent on </a:t>
          </a:r>
          <a:r>
            <a:rPr lang="en-GB" sz="1100" b="0" u="sng" baseline="0">
              <a:solidFill>
                <a:schemeClr val="bg1"/>
              </a:solidFill>
            </a:rPr>
            <a:t>exchange rates €/$</a:t>
          </a:r>
        </a:p>
        <a:p>
          <a:pPr algn="l"/>
          <a:endParaRPr lang="en-GB" sz="1100" b="0" baseline="0">
            <a:solidFill>
              <a:schemeClr val="bg1"/>
            </a:solidFill>
          </a:endParaRPr>
        </a:p>
        <a:p>
          <a:pPr algn="l"/>
          <a:r>
            <a:rPr lang="en-GB" sz="1100" b="0" baseline="0">
              <a:solidFill>
                <a:schemeClr val="bg1"/>
              </a:solidFill>
            </a:rPr>
            <a:t>- </a:t>
          </a:r>
          <a:r>
            <a:rPr lang="en-GB" sz="1100" b="1" u="sng" baseline="0">
              <a:solidFill>
                <a:schemeClr val="bg1"/>
              </a:solidFill>
            </a:rPr>
            <a:t>Leasing</a:t>
          </a:r>
          <a:r>
            <a:rPr lang="en-GB" sz="1100" b="1" baseline="0">
              <a:solidFill>
                <a:schemeClr val="bg1"/>
              </a:solidFill>
            </a:rPr>
            <a:t> </a:t>
          </a:r>
          <a:r>
            <a:rPr lang="en-GB" sz="1100" b="0" baseline="0">
              <a:solidFill>
                <a:schemeClr val="bg1"/>
              </a:solidFill>
            </a:rPr>
            <a:t>is also a significant cost since it is paid in dollars.</a:t>
          </a:r>
        </a:p>
        <a:p>
          <a:pPr algn="l"/>
          <a:endParaRPr lang="en-GB" sz="1100" b="0" baseline="0">
            <a:solidFill>
              <a:schemeClr val="bg1"/>
            </a:solidFill>
          </a:endParaRPr>
        </a:p>
        <a:p>
          <a:pPr algn="l"/>
          <a:r>
            <a:rPr lang="en-GB" sz="1100" b="0" baseline="0">
              <a:solidFill>
                <a:schemeClr val="bg1"/>
              </a:solidFill>
            </a:rPr>
            <a:t>Working Capital Requirements and deposits need to be calculated to build the financial statements.</a:t>
          </a:r>
          <a:endParaRPr lang="en-GB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99785</xdr:colOff>
      <xdr:row>66</xdr:row>
      <xdr:rowOff>136072</xdr:rowOff>
    </xdr:from>
    <xdr:to>
      <xdr:col>12</xdr:col>
      <xdr:colOff>57377</xdr:colOff>
      <xdr:row>82</xdr:row>
      <xdr:rowOff>99786</xdr:rowOff>
    </xdr:to>
    <xdr:sp macro="" textlink="">
      <xdr:nvSpPr>
        <xdr:cNvPr id="16" name="Rectangle: Rounded Corners 10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26571" y="13924643"/>
          <a:ext cx="12222163" cy="3283857"/>
        </a:xfrm>
        <a:prstGeom prst="roundRect">
          <a:avLst/>
        </a:prstGeom>
        <a:solidFill>
          <a:srgbClr val="DDD0E3"/>
        </a:solidFill>
        <a:ln>
          <a:solidFill>
            <a:schemeClr val="bg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fr-FR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How to build two-dimensions tables</a:t>
          </a:r>
          <a:endParaRPr lang="fr-FR" sz="1800">
            <a:solidFill>
              <a:sysClr val="windowText" lastClr="000000"/>
            </a:solidFill>
            <a:effectLst/>
          </a:endParaRPr>
        </a:p>
        <a:p>
          <a:r>
            <a:rPr lang="fr-FR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 two-dimension tables, you have two INPUTS and one OUTPUT.</a:t>
          </a:r>
          <a:endParaRPr lang="fr-FR">
            <a:solidFill>
              <a:sysClr val="windowText" lastClr="000000"/>
            </a:solidFill>
            <a:effectLst/>
          </a:endParaRPr>
        </a:p>
        <a:p>
          <a:r>
            <a:rPr lang="fr-FR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 our exemple, the INPUTS are </a:t>
          </a:r>
          <a:r>
            <a:rPr lang="fr-FR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</a:t>
          </a:r>
          <a:r>
            <a:rPr lang="fr-FR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and</a:t>
          </a: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the </a:t>
          </a:r>
          <a:r>
            <a:rPr lang="fr-F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discount rate</a:t>
          </a:r>
          <a:r>
            <a:rPr lang="fr-FR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 The OUTPUT is the NPV.</a:t>
          </a:r>
        </a:p>
        <a:p>
          <a:endParaRPr lang="fr-FR" sz="1100" b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Steps</a:t>
          </a: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:</a:t>
          </a:r>
          <a:endParaRPr lang="fr-FR">
            <a:solidFill>
              <a:sysClr val="windowText" lastClr="000000"/>
            </a:solidFill>
            <a:effectLst/>
          </a:endParaRP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1) Prepare your table: on the left column, type several possible values for g; on the top row, type several possible values for the discount rate; in the upper left corner (intersection), link this cell to the NPV which is calculated in another worksheet.</a:t>
          </a:r>
        </a:p>
        <a:p>
          <a:r>
            <a:rPr lang="fr-FR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2) Select the table</a:t>
          </a: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(from the NPV value to the last row and the last column)</a:t>
          </a:r>
          <a:endParaRPr lang="fr-FR">
            <a:solidFill>
              <a:sysClr val="windowText" lastClr="000000"/>
            </a:solidFill>
            <a:effectLst/>
          </a:endParaRP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3) Click on </a:t>
          </a:r>
          <a:r>
            <a:rPr lang="fr-FR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Data&lt;What-if</a:t>
          </a:r>
          <a:r>
            <a:rPr lang="fr-F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analysis&lt;Data tables</a:t>
          </a: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enter the discount rate in the "row input cell" and enter g in the "column input cell"</a:t>
          </a:r>
          <a:b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(be careful, INPUTS must always be in the same worksheet as the data table tou are trying to build). Then click on OK.</a:t>
          </a:r>
          <a:endParaRPr lang="fr-FR">
            <a:solidFill>
              <a:sysClr val="windowText" lastClr="000000"/>
            </a:solidFill>
            <a:effectLst/>
          </a:endParaRPr>
        </a:p>
        <a:p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4) For the format, go to </a:t>
          </a:r>
          <a:r>
            <a:rPr lang="fr-F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Home&lt;Conditional Formatting&lt;Color Scales </a:t>
          </a:r>
          <a:r>
            <a:rPr lang="fr-F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and explore :-) </a:t>
          </a:r>
          <a:endParaRPr lang="fr-FR">
            <a:solidFill>
              <a:sysClr val="windowText" lastClr="000000"/>
            </a:solidFill>
            <a:effectLst/>
          </a:endParaRPr>
        </a:p>
        <a:p>
          <a:endParaRPr lang="fr-FR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 editAs="oneCell">
    <xdr:from>
      <xdr:col>4</xdr:col>
      <xdr:colOff>915762</xdr:colOff>
      <xdr:row>51</xdr:row>
      <xdr:rowOff>43997</xdr:rowOff>
    </xdr:from>
    <xdr:to>
      <xdr:col>10</xdr:col>
      <xdr:colOff>373064</xdr:colOff>
      <xdr:row>57</xdr:row>
      <xdr:rowOff>44904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2280" y="14052551"/>
          <a:ext cx="5784623" cy="1184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513853</xdr:colOff>
      <xdr:row>24</xdr:row>
      <xdr:rowOff>186641</xdr:rowOff>
    </xdr:from>
    <xdr:to>
      <xdr:col>9</xdr:col>
      <xdr:colOff>284878</xdr:colOff>
      <xdr:row>40</xdr:row>
      <xdr:rowOff>194858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48683</xdr:colOff>
      <xdr:row>0</xdr:row>
      <xdr:rowOff>2643</xdr:rowOff>
    </xdr:from>
    <xdr:to>
      <xdr:col>1</xdr:col>
      <xdr:colOff>1471083</xdr:colOff>
      <xdr:row>1</xdr:row>
      <xdr:rowOff>31749</xdr:rowOff>
    </xdr:to>
    <xdr:sp macro="" textlink="">
      <xdr:nvSpPr>
        <xdr:cNvPr id="6" name="Arrow: Left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8683" y="2643"/>
          <a:ext cx="1634067" cy="494773"/>
        </a:xfrm>
        <a:prstGeom prst="leftArrow">
          <a:avLst>
            <a:gd name="adj1" fmla="val 57142"/>
            <a:gd name="adj2" fmla="val 50000"/>
          </a:avLst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Agenda</a:t>
          </a:r>
        </a:p>
      </xdr:txBody>
    </xdr:sp>
    <xdr:clientData/>
  </xdr:twoCellAnchor>
  <xdr:twoCellAnchor>
    <xdr:from>
      <xdr:col>0</xdr:col>
      <xdr:colOff>170393</xdr:colOff>
      <xdr:row>1</xdr:row>
      <xdr:rowOff>164043</xdr:rowOff>
    </xdr:from>
    <xdr:to>
      <xdr:col>9</xdr:col>
      <xdr:colOff>127001</xdr:colOff>
      <xdr:row>3</xdr:row>
      <xdr:rowOff>107278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0393" y="629710"/>
          <a:ext cx="9513358" cy="451235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>
              <a:solidFill>
                <a:schemeClr val="bg1"/>
              </a:solidFill>
            </a:rPr>
            <a:t>Volumes, prices &amp; turnover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23476</xdr:colOff>
      <xdr:row>0</xdr:row>
      <xdr:rowOff>28864</xdr:rowOff>
    </xdr:from>
    <xdr:to>
      <xdr:col>1</xdr:col>
      <xdr:colOff>588819</xdr:colOff>
      <xdr:row>0</xdr:row>
      <xdr:rowOff>415156</xdr:rowOff>
    </xdr:to>
    <xdr:sp macro="" textlink="">
      <xdr:nvSpPr>
        <xdr:cNvPr id="7" name="Arrow: Left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3476" y="28864"/>
          <a:ext cx="778934" cy="386292"/>
        </a:xfrm>
        <a:prstGeom prst="leftArrow">
          <a:avLst>
            <a:gd name="adj1" fmla="val 57142"/>
            <a:gd name="adj2" fmla="val 50000"/>
          </a:avLst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/>
            <a:t>Agenda</a:t>
          </a:r>
        </a:p>
      </xdr:txBody>
    </xdr:sp>
    <xdr:clientData/>
  </xdr:twoCellAnchor>
  <xdr:twoCellAnchor>
    <xdr:from>
      <xdr:col>0</xdr:col>
      <xdr:colOff>209550</xdr:colOff>
      <xdr:row>1</xdr:row>
      <xdr:rowOff>69850</xdr:rowOff>
    </xdr:from>
    <xdr:to>
      <xdr:col>8</xdr:col>
      <xdr:colOff>783166</xdr:colOff>
      <xdr:row>3</xdr:row>
      <xdr:rowOff>10969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09550" y="821267"/>
          <a:ext cx="9230783" cy="343285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>
              <a:solidFill>
                <a:schemeClr val="bg1"/>
              </a:solidFill>
            </a:rPr>
            <a:t>Fuel costs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0</xdr:row>
          <xdr:rowOff>101600</xdr:rowOff>
        </xdr:from>
        <xdr:to>
          <xdr:col>1</xdr:col>
          <xdr:colOff>1892300</xdr:colOff>
          <xdr:row>0</xdr:row>
          <xdr:rowOff>393700</xdr:rowOff>
        </xdr:to>
        <xdr:sp macro="" textlink="">
          <xdr:nvSpPr>
            <xdr:cNvPr id="3094" name="Drop Dow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3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292100</xdr:colOff>
          <xdr:row>0</xdr:row>
          <xdr:rowOff>127000</xdr:rowOff>
        </xdr:from>
        <xdr:to>
          <xdr:col>2</xdr:col>
          <xdr:colOff>1422400</xdr:colOff>
          <xdr:row>0</xdr:row>
          <xdr:rowOff>393700</xdr:rowOff>
        </xdr:to>
        <xdr:sp macro="" textlink="">
          <xdr:nvSpPr>
            <xdr:cNvPr id="3095" name="Drop Dow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3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1930400</xdr:colOff>
          <xdr:row>0</xdr:row>
          <xdr:rowOff>127000</xdr:rowOff>
        </xdr:from>
        <xdr:to>
          <xdr:col>2</xdr:col>
          <xdr:colOff>254000</xdr:colOff>
          <xdr:row>0</xdr:row>
          <xdr:rowOff>393700</xdr:rowOff>
        </xdr:to>
        <xdr:sp macro="" textlink="">
          <xdr:nvSpPr>
            <xdr:cNvPr id="3096" name="Drop Dow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3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50164</xdr:colOff>
      <xdr:row>0</xdr:row>
      <xdr:rowOff>88265</xdr:rowOff>
    </xdr:from>
    <xdr:to>
      <xdr:col>1</xdr:col>
      <xdr:colOff>1090082</xdr:colOff>
      <xdr:row>0</xdr:row>
      <xdr:rowOff>529167</xdr:rowOff>
    </xdr:to>
    <xdr:sp macro="" textlink="">
      <xdr:nvSpPr>
        <xdr:cNvPr id="8" name="Arrow: Left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0164" y="88265"/>
          <a:ext cx="1251585" cy="440902"/>
        </a:xfrm>
        <a:prstGeom prst="leftArrow">
          <a:avLst>
            <a:gd name="adj1" fmla="val 57142"/>
            <a:gd name="adj2" fmla="val 50000"/>
          </a:avLst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Agenda</a:t>
          </a:r>
        </a:p>
      </xdr:txBody>
    </xdr:sp>
    <xdr:clientData/>
  </xdr:twoCellAnchor>
  <xdr:twoCellAnchor>
    <xdr:from>
      <xdr:col>0</xdr:col>
      <xdr:colOff>203200</xdr:colOff>
      <xdr:row>1</xdr:row>
      <xdr:rowOff>101600</xdr:rowOff>
    </xdr:from>
    <xdr:to>
      <xdr:col>6</xdr:col>
      <xdr:colOff>275166</xdr:colOff>
      <xdr:row>2</xdr:row>
      <xdr:rowOff>106219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200" y="662517"/>
          <a:ext cx="7078133" cy="385619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>
              <a:solidFill>
                <a:schemeClr val="bg1"/>
              </a:solidFill>
            </a:rPr>
            <a:t>Crew costs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11542</xdr:colOff>
      <xdr:row>0</xdr:row>
      <xdr:rowOff>17319</xdr:rowOff>
    </xdr:from>
    <xdr:to>
      <xdr:col>1</xdr:col>
      <xdr:colOff>793750</xdr:colOff>
      <xdr:row>0</xdr:row>
      <xdr:rowOff>460375</xdr:rowOff>
    </xdr:to>
    <xdr:sp macro="" textlink="">
      <xdr:nvSpPr>
        <xdr:cNvPr id="6" name="Arrow: Left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1542" y="17319"/>
          <a:ext cx="996521" cy="443056"/>
        </a:xfrm>
        <a:prstGeom prst="leftArrow">
          <a:avLst>
            <a:gd name="adj1" fmla="val 57142"/>
            <a:gd name="adj2" fmla="val 50000"/>
          </a:avLst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Agenda</a:t>
          </a:r>
        </a:p>
      </xdr:txBody>
    </xdr:sp>
    <xdr:clientData/>
  </xdr:twoCellAnchor>
  <xdr:twoCellAnchor>
    <xdr:from>
      <xdr:col>0</xdr:col>
      <xdr:colOff>161636</xdr:colOff>
      <xdr:row>1</xdr:row>
      <xdr:rowOff>92363</xdr:rowOff>
    </xdr:from>
    <xdr:to>
      <xdr:col>9</xdr:col>
      <xdr:colOff>305954</xdr:colOff>
      <xdr:row>2</xdr:row>
      <xdr:rowOff>334818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61636" y="681181"/>
          <a:ext cx="9380682" cy="450273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600" b="1">
              <a:solidFill>
                <a:schemeClr val="bg1"/>
              </a:solidFill>
            </a:rPr>
            <a:t>Leasing costs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2336800</xdr:colOff>
          <xdr:row>0</xdr:row>
          <xdr:rowOff>139700</xdr:rowOff>
        </xdr:from>
        <xdr:to>
          <xdr:col>2</xdr:col>
          <xdr:colOff>825500</xdr:colOff>
          <xdr:row>0</xdr:row>
          <xdr:rowOff>406400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184727</xdr:colOff>
      <xdr:row>22</xdr:row>
      <xdr:rowOff>0</xdr:rowOff>
    </xdr:from>
    <xdr:to>
      <xdr:col>9</xdr:col>
      <xdr:colOff>332220</xdr:colOff>
      <xdr:row>22</xdr:row>
      <xdr:rowOff>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4727" y="4393045"/>
          <a:ext cx="9366538" cy="334817"/>
        </a:xfrm>
        <a:prstGeom prst="roundRect">
          <a:avLst/>
        </a:prstGeom>
        <a:solidFill>
          <a:srgbClr val="DDD0E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>
              <a:solidFill>
                <a:sysClr val="windowText" lastClr="000000"/>
              </a:solidFill>
            </a:rPr>
            <a:t>Leasing deposits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863600</xdr:colOff>
          <xdr:row>0</xdr:row>
          <xdr:rowOff>152400</xdr:rowOff>
        </xdr:from>
        <xdr:to>
          <xdr:col>1</xdr:col>
          <xdr:colOff>2273300</xdr:colOff>
          <xdr:row>0</xdr:row>
          <xdr:rowOff>393700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11642</xdr:colOff>
      <xdr:row>0</xdr:row>
      <xdr:rowOff>7408</xdr:rowOff>
    </xdr:from>
    <xdr:to>
      <xdr:col>1</xdr:col>
      <xdr:colOff>693209</xdr:colOff>
      <xdr:row>0</xdr:row>
      <xdr:rowOff>381000</xdr:rowOff>
    </xdr:to>
    <xdr:sp macro="" textlink="">
      <xdr:nvSpPr>
        <xdr:cNvPr id="5" name="Arrow: Left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1642" y="7408"/>
          <a:ext cx="882650" cy="373592"/>
        </a:xfrm>
        <a:prstGeom prst="leftArrow">
          <a:avLst>
            <a:gd name="adj1" fmla="val 57142"/>
            <a:gd name="adj2" fmla="val 50000"/>
          </a:avLst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Agenda</a:t>
          </a:r>
        </a:p>
      </xdr:txBody>
    </xdr:sp>
    <xdr:clientData/>
  </xdr:twoCellAnchor>
  <xdr:twoCellAnchor>
    <xdr:from>
      <xdr:col>1</xdr:col>
      <xdr:colOff>3528</xdr:colOff>
      <xdr:row>1</xdr:row>
      <xdr:rowOff>119944</xdr:rowOff>
    </xdr:from>
    <xdr:to>
      <xdr:col>9</xdr:col>
      <xdr:colOff>190500</xdr:colOff>
      <xdr:row>3</xdr:row>
      <xdr:rowOff>59652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04611" y="458611"/>
          <a:ext cx="9457972" cy="341874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>
              <a:solidFill>
                <a:schemeClr val="bg1"/>
              </a:solidFill>
            </a:rPr>
            <a:t>Technical &amp; maintenance costs</a:t>
          </a:r>
        </a:p>
      </xdr:txBody>
    </xdr:sp>
    <xdr:clientData/>
  </xdr:twoCellAnchor>
  <xdr:twoCellAnchor>
    <xdr:from>
      <xdr:col>1</xdr:col>
      <xdr:colOff>6351</xdr:colOff>
      <xdr:row>11</xdr:row>
      <xdr:rowOff>14111</xdr:rowOff>
    </xdr:from>
    <xdr:to>
      <xdr:col>9</xdr:col>
      <xdr:colOff>127001</xdr:colOff>
      <xdr:row>12</xdr:row>
      <xdr:rowOff>151373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07434" y="2427111"/>
          <a:ext cx="9391650" cy="33834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 baseline="0">
              <a:solidFill>
                <a:schemeClr val="bg1"/>
              </a:solidFill>
            </a:rPr>
            <a:t>Other costs</a:t>
          </a:r>
        </a:p>
        <a:p>
          <a:pPr algn="l"/>
          <a:endParaRPr lang="en-GB" sz="1600" b="1" baseline="0">
            <a:solidFill>
              <a:schemeClr val="bg1"/>
            </a:solidFill>
          </a:endParaRPr>
        </a:p>
        <a:p>
          <a:pPr algn="l"/>
          <a:endParaRPr lang="en-GB" sz="1600" b="1" baseline="0">
            <a:solidFill>
              <a:schemeClr val="bg1"/>
            </a:solidFill>
          </a:endParaRPr>
        </a:p>
        <a:p>
          <a:pPr algn="l"/>
          <a:endParaRPr lang="en-GB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749300</xdr:colOff>
          <xdr:row>0</xdr:row>
          <xdr:rowOff>63500</xdr:rowOff>
        </xdr:from>
        <xdr:to>
          <xdr:col>1</xdr:col>
          <xdr:colOff>2044700</xdr:colOff>
          <xdr:row>0</xdr:row>
          <xdr:rowOff>355600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0</xdr:row>
          <xdr:rowOff>88900</xdr:rowOff>
        </xdr:from>
        <xdr:to>
          <xdr:col>3</xdr:col>
          <xdr:colOff>25400</xdr:colOff>
          <xdr:row>0</xdr:row>
          <xdr:rowOff>355600</xdr:rowOff>
        </xdr:to>
        <xdr:sp macro="" textlink="">
          <xdr:nvSpPr>
            <xdr:cNvPr id="20482" name="Drop Dow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6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2070100</xdr:colOff>
          <xdr:row>0</xdr:row>
          <xdr:rowOff>88900</xdr:rowOff>
        </xdr:from>
        <xdr:to>
          <xdr:col>2</xdr:col>
          <xdr:colOff>63500</xdr:colOff>
          <xdr:row>0</xdr:row>
          <xdr:rowOff>355600</xdr:rowOff>
        </xdr:to>
        <xdr:sp macro="" textlink="">
          <xdr:nvSpPr>
            <xdr:cNvPr id="20483" name="Drop Dow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6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16933</xdr:colOff>
      <xdr:row>0</xdr:row>
      <xdr:rowOff>74084</xdr:rowOff>
    </xdr:from>
    <xdr:to>
      <xdr:col>1</xdr:col>
      <xdr:colOff>910166</xdr:colOff>
      <xdr:row>1</xdr:row>
      <xdr:rowOff>31750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6933" y="74084"/>
          <a:ext cx="1104900" cy="476249"/>
        </a:xfrm>
        <a:prstGeom prst="leftArrow">
          <a:avLst>
            <a:gd name="adj1" fmla="val 57142"/>
            <a:gd name="adj2" fmla="val 50000"/>
          </a:avLst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Agenda</a:t>
          </a:r>
        </a:p>
      </xdr:txBody>
    </xdr:sp>
    <xdr:clientData/>
  </xdr:twoCellAnchor>
  <xdr:twoCellAnchor>
    <xdr:from>
      <xdr:col>1</xdr:col>
      <xdr:colOff>0</xdr:colOff>
      <xdr:row>2</xdr:row>
      <xdr:rowOff>95250</xdr:rowOff>
    </xdr:from>
    <xdr:to>
      <xdr:col>4</xdr:col>
      <xdr:colOff>105833</xdr:colOff>
      <xdr:row>2</xdr:row>
      <xdr:rowOff>529167</xdr:rowOff>
    </xdr:to>
    <xdr:sp macro="" textlink="">
      <xdr:nvSpPr>
        <xdr:cNvPr id="3" name="Rectangle: Rounded Corners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1667" y="613833"/>
          <a:ext cx="4868333" cy="433917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600" b="1" baseline="0">
              <a:solidFill>
                <a:schemeClr val="bg1"/>
              </a:solidFill>
            </a:rPr>
            <a:t>Capital Expenditures</a:t>
          </a:r>
        </a:p>
        <a:p>
          <a:pPr algn="l"/>
          <a:endParaRPr lang="en-GB" sz="1600" b="1" baseline="0">
            <a:solidFill>
              <a:schemeClr val="bg1"/>
            </a:solidFill>
          </a:endParaRPr>
        </a:p>
        <a:p>
          <a:pPr algn="l"/>
          <a:endParaRPr lang="en-GB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225135</xdr:colOff>
      <xdr:row>46</xdr:row>
      <xdr:rowOff>129886</xdr:rowOff>
    </xdr:from>
    <xdr:to>
      <xdr:col>10</xdr:col>
      <xdr:colOff>92364</xdr:colOff>
      <xdr:row>48</xdr:row>
      <xdr:rowOff>79087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25135" y="11790795"/>
          <a:ext cx="10235047" cy="364837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>
              <a:solidFill>
                <a:schemeClr val="bg1"/>
              </a:solidFill>
            </a:rPr>
            <a:t>Working Capital Requirements (WCR)</a:t>
          </a:r>
        </a:p>
      </xdr:txBody>
    </xdr:sp>
    <xdr:clientData/>
  </xdr:twoCellAnchor>
  <xdr:twoCellAnchor>
    <xdr:from>
      <xdr:col>0</xdr:col>
      <xdr:colOff>228888</xdr:colOff>
      <xdr:row>55</xdr:row>
      <xdr:rowOff>196273</xdr:rowOff>
    </xdr:from>
    <xdr:to>
      <xdr:col>10</xdr:col>
      <xdr:colOff>0</xdr:colOff>
      <xdr:row>57</xdr:row>
      <xdr:rowOff>75912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28888" y="14062364"/>
          <a:ext cx="10138930" cy="387639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>
              <a:solidFill>
                <a:schemeClr val="bg1"/>
              </a:solidFill>
            </a:rPr>
            <a:t>Deposits</a:t>
          </a:r>
        </a:p>
      </xdr:txBody>
    </xdr:sp>
    <xdr:clientData/>
  </xdr:twoCellAnchor>
  <xdr:twoCellAnchor>
    <xdr:from>
      <xdr:col>1</xdr:col>
      <xdr:colOff>12701</xdr:colOff>
      <xdr:row>7</xdr:row>
      <xdr:rowOff>158750</xdr:rowOff>
    </xdr:from>
    <xdr:to>
      <xdr:col>10</xdr:col>
      <xdr:colOff>116417</xdr:colOff>
      <xdr:row>9</xdr:row>
      <xdr:rowOff>98810</xdr:rowOff>
    </xdr:to>
    <xdr:sp macro="" textlink="">
      <xdr:nvSpPr>
        <xdr:cNvPr id="2" name="Rectangle: Rounded Corners 6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1" y="2724150"/>
          <a:ext cx="10200216" cy="346460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>
              <a:solidFill>
                <a:schemeClr val="bg1"/>
              </a:solidFill>
            </a:rPr>
            <a:t>Payment terms</a:t>
          </a:r>
        </a:p>
      </xdr:txBody>
    </xdr:sp>
    <xdr:clientData/>
  </xdr:twoCellAnchor>
  <xdr:twoCellAnchor>
    <xdr:from>
      <xdr:col>1</xdr:col>
      <xdr:colOff>10584</xdr:colOff>
      <xdr:row>15</xdr:row>
      <xdr:rowOff>31750</xdr:rowOff>
    </xdr:from>
    <xdr:to>
      <xdr:col>10</xdr:col>
      <xdr:colOff>287001</xdr:colOff>
      <xdr:row>16</xdr:row>
      <xdr:rowOff>172894</xdr:rowOff>
    </xdr:to>
    <xdr:sp macro="" textlink="">
      <xdr:nvSpPr>
        <xdr:cNvPr id="3" name="Rectangle: Rounded Corners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13784" y="4425950"/>
          <a:ext cx="10372917" cy="344344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>
              <a:solidFill>
                <a:schemeClr val="bg1"/>
              </a:solidFill>
            </a:rPr>
            <a:t>Fuel</a:t>
          </a:r>
          <a:r>
            <a:rPr lang="en-GB" sz="1600" b="1" baseline="0">
              <a:solidFill>
                <a:schemeClr val="bg1"/>
              </a:solidFill>
            </a:rPr>
            <a:t> costs - payment terms / deposit</a:t>
          </a:r>
        </a:p>
        <a:p>
          <a:pPr algn="l"/>
          <a:endParaRPr lang="en-GB" sz="1600" b="1" baseline="0">
            <a:solidFill>
              <a:schemeClr val="bg1"/>
            </a:solidFill>
          </a:endParaRPr>
        </a:p>
        <a:p>
          <a:pPr algn="l"/>
          <a:endParaRPr lang="en-GB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10</xdr:col>
      <xdr:colOff>276417</xdr:colOff>
      <xdr:row>27</xdr:row>
      <xdr:rowOff>141144</xdr:rowOff>
    </xdr:to>
    <xdr:sp macro="" textlink="">
      <xdr:nvSpPr>
        <xdr:cNvPr id="4" name="Rectangle: Rounded Corners 6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03200" y="7442200"/>
          <a:ext cx="10372917" cy="344344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 baseline="0">
              <a:solidFill>
                <a:schemeClr val="bg1"/>
              </a:solidFill>
            </a:rPr>
            <a:t>Leasing deposit</a:t>
          </a:r>
        </a:p>
        <a:p>
          <a:pPr algn="l"/>
          <a:endParaRPr lang="en-GB" sz="1600" b="1" baseline="0">
            <a:solidFill>
              <a:schemeClr val="bg1"/>
            </a:solidFill>
          </a:endParaRPr>
        </a:p>
        <a:p>
          <a:pPr algn="l"/>
          <a:r>
            <a:rPr lang="en-GB" sz="1600" b="1" baseline="0">
              <a:solidFill>
                <a:schemeClr val="bg1"/>
              </a:solidFill>
            </a:rPr>
            <a:t> deposit</a:t>
          </a:r>
        </a:p>
        <a:p>
          <a:pPr algn="l"/>
          <a:endParaRPr lang="en-GB" sz="1600" b="1" baseline="0">
            <a:solidFill>
              <a:schemeClr val="bg1"/>
            </a:solidFill>
          </a:endParaRPr>
        </a:p>
        <a:p>
          <a:pPr algn="l"/>
          <a:endParaRPr lang="en-GB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35</xdr:row>
      <xdr:rowOff>0</xdr:rowOff>
    </xdr:from>
    <xdr:to>
      <xdr:col>10</xdr:col>
      <xdr:colOff>276417</xdr:colOff>
      <xdr:row>36</xdr:row>
      <xdr:rowOff>141144</xdr:rowOff>
    </xdr:to>
    <xdr:sp macro="" textlink="">
      <xdr:nvSpPr>
        <xdr:cNvPr id="5" name="Rectangle: Rounded Corners 6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203200" y="9474200"/>
          <a:ext cx="10372917" cy="344344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 baseline="0">
              <a:solidFill>
                <a:schemeClr val="bg1"/>
              </a:solidFill>
            </a:rPr>
            <a:t>Technical &amp; maintenance costs payment terms</a:t>
          </a:r>
        </a:p>
        <a:p>
          <a:pPr algn="l"/>
          <a:endParaRPr lang="en-GB" sz="1600" b="1" baseline="0">
            <a:solidFill>
              <a:schemeClr val="bg1"/>
            </a:solidFill>
          </a:endParaRPr>
        </a:p>
        <a:p>
          <a:pPr algn="l"/>
          <a:endParaRPr lang="en-GB" sz="1600" b="1" baseline="0">
            <a:solidFill>
              <a:schemeClr val="bg1"/>
            </a:solidFill>
          </a:endParaRPr>
        </a:p>
        <a:p>
          <a:pPr algn="l"/>
          <a:r>
            <a:rPr lang="en-GB" sz="1600" b="1" baseline="0">
              <a:solidFill>
                <a:schemeClr val="bg1"/>
              </a:solidFill>
            </a:rPr>
            <a:t> deposit</a:t>
          </a:r>
        </a:p>
        <a:p>
          <a:pPr algn="l"/>
          <a:endParaRPr lang="en-GB" sz="1600" b="1" baseline="0">
            <a:solidFill>
              <a:schemeClr val="bg1"/>
            </a:solidFill>
          </a:endParaRPr>
        </a:p>
        <a:p>
          <a:pPr algn="l"/>
          <a:endParaRPr lang="en-GB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7938</xdr:rowOff>
    </xdr:from>
    <xdr:to>
      <xdr:col>1</xdr:col>
      <xdr:colOff>548746</xdr:colOff>
      <xdr:row>0</xdr:row>
      <xdr:rowOff>394230</xdr:rowOff>
    </xdr:to>
    <xdr:sp macro="" textlink="">
      <xdr:nvSpPr>
        <xdr:cNvPr id="16" name="Arrow: Left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0" y="7938"/>
          <a:ext cx="778934" cy="386292"/>
        </a:xfrm>
        <a:prstGeom prst="leftArrow">
          <a:avLst>
            <a:gd name="adj1" fmla="val 57142"/>
            <a:gd name="adj2" fmla="val 50000"/>
          </a:avLst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/>
            <a:t>Agenda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0</xdr:row>
          <xdr:rowOff>63500</xdr:rowOff>
        </xdr:from>
        <xdr:to>
          <xdr:col>1</xdr:col>
          <xdr:colOff>1854200</xdr:colOff>
          <xdr:row>0</xdr:row>
          <xdr:rowOff>355600</xdr:rowOff>
        </xdr:to>
        <xdr:sp macro="" textlink="">
          <xdr:nvSpPr>
            <xdr:cNvPr id="7180" name="Drop Dow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8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3035300</xdr:colOff>
          <xdr:row>0</xdr:row>
          <xdr:rowOff>101600</xdr:rowOff>
        </xdr:from>
        <xdr:to>
          <xdr:col>2</xdr:col>
          <xdr:colOff>1054100</xdr:colOff>
          <xdr:row>0</xdr:row>
          <xdr:rowOff>368300</xdr:rowOff>
        </xdr:to>
        <xdr:sp macro="" textlink="">
          <xdr:nvSpPr>
            <xdr:cNvPr id="7181" name="Drop Dow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8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1892300</xdr:colOff>
          <xdr:row>0</xdr:row>
          <xdr:rowOff>88900</xdr:rowOff>
        </xdr:from>
        <xdr:to>
          <xdr:col>1</xdr:col>
          <xdr:colOff>2997200</xdr:colOff>
          <xdr:row>0</xdr:row>
          <xdr:rowOff>355600</xdr:rowOff>
        </xdr:to>
        <xdr:sp macro="" textlink="">
          <xdr:nvSpPr>
            <xdr:cNvPr id="7182" name="Drop Dow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8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182562</xdr:rowOff>
    </xdr:from>
    <xdr:to>
      <xdr:col>8</xdr:col>
      <xdr:colOff>337704</xdr:colOff>
      <xdr:row>6</xdr:row>
      <xdr:rowOff>78364</xdr:rowOff>
    </xdr:to>
    <xdr:sp macro="" textlink="">
      <xdr:nvSpPr>
        <xdr:cNvPr id="20" name="Rectangle: Rounded Corners 7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230188" y="674687"/>
          <a:ext cx="8783204" cy="887990"/>
        </a:xfrm>
        <a:prstGeom prst="roundRect">
          <a:avLst/>
        </a:prstGeom>
        <a:solidFill>
          <a:srgbClr val="DDD0E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</a:rPr>
            <a:t>Objective of this worksheet: prepare the balance sheet and the cash flow statement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200" b="0" baseline="0">
            <a:solidFill>
              <a:schemeClr val="tx1"/>
            </a:solidFill>
          </a:endParaRPr>
        </a:p>
        <a:p>
          <a:pPr algn="l"/>
          <a:r>
            <a:rPr lang="en-GB" sz="1200" b="0">
              <a:solidFill>
                <a:sysClr val="windowText" lastClr="000000"/>
              </a:solidFill>
            </a:rPr>
            <a:t>Assume </a:t>
          </a:r>
          <a:r>
            <a:rPr lang="en-GB" sz="1200" b="0" baseline="0">
              <a:solidFill>
                <a:sysClr val="windowText" lastClr="000000"/>
              </a:solidFill>
            </a:rPr>
            <a:t>number of days per year is 365 and 12 months</a:t>
          </a:r>
        </a:p>
        <a:p>
          <a:pPr algn="l"/>
          <a:endParaRPr lang="en-GB" sz="1200" b="0" baseline="0">
            <a:solidFill>
              <a:sysClr val="windowText" lastClr="000000"/>
            </a:solidFill>
          </a:endParaRPr>
        </a:p>
        <a:p>
          <a:pPr algn="l"/>
          <a:endParaRPr lang="en-GB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899584</xdr:colOff>
      <xdr:row>0</xdr:row>
      <xdr:rowOff>465667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1116542" cy="465667"/>
        </a:xfrm>
        <a:prstGeom prst="leftArrow">
          <a:avLst>
            <a:gd name="adj1" fmla="val 57142"/>
            <a:gd name="adj2" fmla="val 50000"/>
          </a:avLst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Agenda</a:t>
          </a:r>
        </a:p>
      </xdr:txBody>
    </xdr:sp>
    <xdr:clientData/>
  </xdr:twoCellAnchor>
  <xdr:twoCellAnchor>
    <xdr:from>
      <xdr:col>0</xdr:col>
      <xdr:colOff>42334</xdr:colOff>
      <xdr:row>1</xdr:row>
      <xdr:rowOff>105835</xdr:rowOff>
    </xdr:from>
    <xdr:to>
      <xdr:col>7</xdr:col>
      <xdr:colOff>137583</xdr:colOff>
      <xdr:row>3</xdr:row>
      <xdr:rowOff>53304</xdr:rowOff>
    </xdr:to>
    <xdr:sp macro="" textlink="">
      <xdr:nvSpPr>
        <xdr:cNvPr id="3" name="Rectangle: Rounded Corners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2334" y="306918"/>
          <a:ext cx="7926916" cy="349636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600" b="1" baseline="0">
              <a:solidFill>
                <a:schemeClr val="bg1"/>
              </a:solidFill>
            </a:rPr>
            <a:t>Fundings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40411</xdr:colOff>
      <xdr:row>0</xdr:row>
      <xdr:rowOff>34635</xdr:rowOff>
    </xdr:from>
    <xdr:to>
      <xdr:col>1</xdr:col>
      <xdr:colOff>635000</xdr:colOff>
      <xdr:row>1</xdr:row>
      <xdr:rowOff>0</xdr:rowOff>
    </xdr:to>
    <xdr:sp macro="" textlink="">
      <xdr:nvSpPr>
        <xdr:cNvPr id="5" name="Arrow: Left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40411" y="34635"/>
          <a:ext cx="791439" cy="447965"/>
        </a:xfrm>
        <a:prstGeom prst="leftArrow">
          <a:avLst>
            <a:gd name="adj1" fmla="val 57142"/>
            <a:gd name="adj2" fmla="val 50000"/>
          </a:avLst>
        </a:prstGeom>
        <a:solidFill>
          <a:srgbClr val="B367B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/>
            <a:t>Agenda</a:t>
          </a:r>
        </a:p>
      </xdr:txBody>
    </xdr:sp>
    <xdr:clientData/>
  </xdr:twoCellAnchor>
  <xdr:twoCellAnchor>
    <xdr:from>
      <xdr:col>0</xdr:col>
      <xdr:colOff>190500</xdr:colOff>
      <xdr:row>1</xdr:row>
      <xdr:rowOff>190500</xdr:rowOff>
    </xdr:from>
    <xdr:to>
      <xdr:col>8</xdr:col>
      <xdr:colOff>84667</xdr:colOff>
      <xdr:row>1</xdr:row>
      <xdr:rowOff>540136</xdr:rowOff>
    </xdr:to>
    <xdr:sp macro="" textlink="">
      <xdr:nvSpPr>
        <xdr:cNvPr id="2" name="Rectangle: Rounded Corners 4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90500" y="812800"/>
          <a:ext cx="8542867" cy="349636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600" b="1" baseline="0">
              <a:solidFill>
                <a:schemeClr val="bg1"/>
              </a:solidFill>
            </a:rPr>
            <a:t>Profit &amp; Loss Account in EUR '000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660400</xdr:colOff>
          <xdr:row>0</xdr:row>
          <xdr:rowOff>101600</xdr:rowOff>
        </xdr:from>
        <xdr:to>
          <xdr:col>1</xdr:col>
          <xdr:colOff>1943100</xdr:colOff>
          <xdr:row>0</xdr:row>
          <xdr:rowOff>406400</xdr:rowOff>
        </xdr:to>
        <xdr:sp macro="" textlink="">
          <xdr:nvSpPr>
            <xdr:cNvPr id="27659" name="Drop Dow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A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0</xdr:row>
          <xdr:rowOff>101600</xdr:rowOff>
        </xdr:from>
        <xdr:to>
          <xdr:col>3</xdr:col>
          <xdr:colOff>355600</xdr:colOff>
          <xdr:row>0</xdr:row>
          <xdr:rowOff>406400</xdr:rowOff>
        </xdr:to>
        <xdr:sp macro="" textlink="">
          <xdr:nvSpPr>
            <xdr:cNvPr id="27660" name="Drop Dow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A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1968500</xdr:colOff>
          <xdr:row>0</xdr:row>
          <xdr:rowOff>114300</xdr:rowOff>
        </xdr:from>
        <xdr:to>
          <xdr:col>1</xdr:col>
          <xdr:colOff>3086100</xdr:colOff>
          <xdr:row>0</xdr:row>
          <xdr:rowOff>406400</xdr:rowOff>
        </xdr:to>
        <xdr:sp macro="" textlink="">
          <xdr:nvSpPr>
            <xdr:cNvPr id="27661" name="Drop Dow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A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52916</xdr:rowOff>
    </xdr:from>
    <xdr:to>
      <xdr:col>1</xdr:col>
      <xdr:colOff>719666</xdr:colOff>
      <xdr:row>0</xdr:row>
      <xdr:rowOff>518583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0" y="52916"/>
          <a:ext cx="920749" cy="465667"/>
        </a:xfrm>
        <a:prstGeom prst="leftArrow">
          <a:avLst>
            <a:gd name="adj1" fmla="val 57142"/>
            <a:gd name="adj2" fmla="val 50000"/>
          </a:avLst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Agenda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1968500</xdr:colOff>
          <xdr:row>0</xdr:row>
          <xdr:rowOff>165100</xdr:rowOff>
        </xdr:from>
        <xdr:to>
          <xdr:col>2</xdr:col>
          <xdr:colOff>12700</xdr:colOff>
          <xdr:row>0</xdr:row>
          <xdr:rowOff>444500</xdr:rowOff>
        </xdr:to>
        <xdr:sp macro="" textlink="">
          <xdr:nvSpPr>
            <xdr:cNvPr id="28673" name="Drop Dow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0</xdr:row>
          <xdr:rowOff>177800</xdr:rowOff>
        </xdr:from>
        <xdr:to>
          <xdr:col>3</xdr:col>
          <xdr:colOff>50800</xdr:colOff>
          <xdr:row>0</xdr:row>
          <xdr:rowOff>469900</xdr:rowOff>
        </xdr:to>
        <xdr:sp macro="" textlink="">
          <xdr:nvSpPr>
            <xdr:cNvPr id="28674" name="Drop Dow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0</xdr:row>
          <xdr:rowOff>152400</xdr:rowOff>
        </xdr:from>
        <xdr:to>
          <xdr:col>1</xdr:col>
          <xdr:colOff>1854200</xdr:colOff>
          <xdr:row>0</xdr:row>
          <xdr:rowOff>444500</xdr:rowOff>
        </xdr:to>
        <xdr:sp macro="" textlink="">
          <xdr:nvSpPr>
            <xdr:cNvPr id="28675" name="Drop Dow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102658</xdr:rowOff>
    </xdr:from>
    <xdr:to>
      <xdr:col>8</xdr:col>
      <xdr:colOff>95250</xdr:colOff>
      <xdr:row>4</xdr:row>
      <xdr:rowOff>183173</xdr:rowOff>
    </xdr:to>
    <xdr:sp macro="" textlink="">
      <xdr:nvSpPr>
        <xdr:cNvPr id="3" name="Rectangle: Rounded Corners 4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97827" y="776735"/>
          <a:ext cx="8557846" cy="673996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600" b="1" baseline="0">
              <a:solidFill>
                <a:schemeClr val="bg1"/>
              </a:solidFill>
            </a:rPr>
            <a:t>Breakeven point calculation</a:t>
          </a:r>
        </a:p>
        <a:p>
          <a:pPr algn="l"/>
          <a:r>
            <a:rPr lang="en-GB" sz="1100" b="1" baseline="0">
              <a:solidFill>
                <a:schemeClr val="bg1"/>
              </a:solidFill>
            </a:rPr>
            <a:t>How many FH does Light Flight need to break even in terms of operating earnings?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28863</xdr:colOff>
      <xdr:row>0</xdr:row>
      <xdr:rowOff>17317</xdr:rowOff>
    </xdr:from>
    <xdr:to>
      <xdr:col>1</xdr:col>
      <xdr:colOff>793750</xdr:colOff>
      <xdr:row>0</xdr:row>
      <xdr:rowOff>547076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8863" y="17317"/>
          <a:ext cx="944804" cy="529759"/>
        </a:xfrm>
        <a:prstGeom prst="leftArrow">
          <a:avLst>
            <a:gd name="adj1" fmla="val 57142"/>
            <a:gd name="adj2" fmla="val 50000"/>
          </a:avLst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/>
            <a:t>Agenda</a:t>
          </a:r>
        </a:p>
      </xdr:txBody>
    </xdr:sp>
    <xdr:clientData/>
  </xdr:twoCellAnchor>
  <xdr:twoCellAnchor>
    <xdr:from>
      <xdr:col>0</xdr:col>
      <xdr:colOff>169334</xdr:colOff>
      <xdr:row>1</xdr:row>
      <xdr:rowOff>137583</xdr:rowOff>
    </xdr:from>
    <xdr:to>
      <xdr:col>9</xdr:col>
      <xdr:colOff>179916</xdr:colOff>
      <xdr:row>2</xdr:row>
      <xdr:rowOff>497416</xdr:rowOff>
    </xdr:to>
    <xdr:sp macro="" textlink="">
      <xdr:nvSpPr>
        <xdr:cNvPr id="4" name="Rectangle: Rounded Corners 4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69334" y="772583"/>
          <a:ext cx="8254999" cy="730250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600" b="1" baseline="0">
              <a:solidFill>
                <a:schemeClr val="bg1"/>
              </a:solidFill>
            </a:rPr>
            <a:t>Cash flow statement</a:t>
          </a:r>
        </a:p>
        <a:p>
          <a:pPr algn="l"/>
          <a:r>
            <a:rPr lang="en-GB" sz="1600" b="1" baseline="0">
              <a:solidFill>
                <a:schemeClr val="bg1"/>
              </a:solidFill>
            </a:rPr>
            <a:t>All data in EUR '000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1739900</xdr:colOff>
          <xdr:row>0</xdr:row>
          <xdr:rowOff>165100</xdr:rowOff>
        </xdr:from>
        <xdr:to>
          <xdr:col>1</xdr:col>
          <xdr:colOff>2882900</xdr:colOff>
          <xdr:row>0</xdr:row>
          <xdr:rowOff>444500</xdr:rowOff>
        </xdr:to>
        <xdr:sp macro="" textlink="">
          <xdr:nvSpPr>
            <xdr:cNvPr id="29697" name="Drop Dow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2921000</xdr:colOff>
          <xdr:row>0</xdr:row>
          <xdr:rowOff>165100</xdr:rowOff>
        </xdr:from>
        <xdr:to>
          <xdr:col>3</xdr:col>
          <xdr:colOff>114300</xdr:colOff>
          <xdr:row>0</xdr:row>
          <xdr:rowOff>444500</xdr:rowOff>
        </xdr:to>
        <xdr:sp macro="" textlink="">
          <xdr:nvSpPr>
            <xdr:cNvPr id="29698" name="Drop Dow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D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825500</xdr:colOff>
          <xdr:row>0</xdr:row>
          <xdr:rowOff>139700</xdr:rowOff>
        </xdr:from>
        <xdr:to>
          <xdr:col>1</xdr:col>
          <xdr:colOff>1714500</xdr:colOff>
          <xdr:row>0</xdr:row>
          <xdr:rowOff>444500</xdr:rowOff>
        </xdr:to>
        <xdr:sp macro="" textlink="">
          <xdr:nvSpPr>
            <xdr:cNvPr id="29699" name="Drop Dow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D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55561</xdr:rowOff>
    </xdr:from>
    <xdr:to>
      <xdr:col>1</xdr:col>
      <xdr:colOff>703793</xdr:colOff>
      <xdr:row>0</xdr:row>
      <xdr:rowOff>476250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" y="55561"/>
          <a:ext cx="920750" cy="420689"/>
        </a:xfrm>
        <a:prstGeom prst="leftArrow">
          <a:avLst>
            <a:gd name="adj1" fmla="val 57142"/>
            <a:gd name="adj2" fmla="val 50000"/>
          </a:avLst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/>
            <a:t>Agenda</a:t>
          </a:r>
        </a:p>
      </xdr:txBody>
    </xdr:sp>
    <xdr:clientData/>
  </xdr:twoCellAnchor>
  <xdr:twoCellAnchor>
    <xdr:from>
      <xdr:col>1</xdr:col>
      <xdr:colOff>0</xdr:colOff>
      <xdr:row>1</xdr:row>
      <xdr:rowOff>201082</xdr:rowOff>
    </xdr:from>
    <xdr:to>
      <xdr:col>9</xdr:col>
      <xdr:colOff>42334</xdr:colOff>
      <xdr:row>3</xdr:row>
      <xdr:rowOff>137582</xdr:rowOff>
    </xdr:to>
    <xdr:sp macro="" textlink="">
      <xdr:nvSpPr>
        <xdr:cNvPr id="3" name="Rectangle: Rounded Corners 4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11667" y="825499"/>
          <a:ext cx="8540750" cy="709083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600" b="1" baseline="0">
              <a:solidFill>
                <a:schemeClr val="bg1"/>
              </a:solidFill>
            </a:rPr>
            <a:t>Balance sheet</a:t>
          </a:r>
        </a:p>
        <a:p>
          <a:pPr algn="l"/>
          <a:r>
            <a:rPr lang="en-GB" sz="1600" b="1" baseline="0">
              <a:solidFill>
                <a:schemeClr val="bg1"/>
              </a:solidFill>
            </a:rPr>
            <a:t>All data in Eur '000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1701800</xdr:colOff>
          <xdr:row>0</xdr:row>
          <xdr:rowOff>114300</xdr:rowOff>
        </xdr:from>
        <xdr:to>
          <xdr:col>2</xdr:col>
          <xdr:colOff>139700</xdr:colOff>
          <xdr:row>0</xdr:row>
          <xdr:rowOff>406400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0</xdr:row>
          <xdr:rowOff>114300</xdr:rowOff>
        </xdr:from>
        <xdr:to>
          <xdr:col>3</xdr:col>
          <xdr:colOff>520700</xdr:colOff>
          <xdr:row>0</xdr:row>
          <xdr:rowOff>406400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E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787400</xdr:colOff>
          <xdr:row>0</xdr:row>
          <xdr:rowOff>101600</xdr:rowOff>
        </xdr:from>
        <xdr:to>
          <xdr:col>1</xdr:col>
          <xdr:colOff>1676400</xdr:colOff>
          <xdr:row>0</xdr:row>
          <xdr:rowOff>393700</xdr:rowOff>
        </xdr:to>
        <xdr:sp macro="" textlink="">
          <xdr:nvSpPr>
            <xdr:cNvPr id="30723" name="Drop Dow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E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0</xdr:row>
          <xdr:rowOff>25400</xdr:rowOff>
        </xdr:from>
        <xdr:to>
          <xdr:col>1</xdr:col>
          <xdr:colOff>1727200</xdr:colOff>
          <xdr:row>0</xdr:row>
          <xdr:rowOff>241300</xdr:rowOff>
        </xdr:to>
        <xdr:sp macro="" textlink="">
          <xdr:nvSpPr>
            <xdr:cNvPr id="32769" name="Drop Dow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F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1879600</xdr:colOff>
          <xdr:row>0</xdr:row>
          <xdr:rowOff>25400</xdr:rowOff>
        </xdr:from>
        <xdr:to>
          <xdr:col>3</xdr:col>
          <xdr:colOff>177800</xdr:colOff>
          <xdr:row>0</xdr:row>
          <xdr:rowOff>266700</xdr:rowOff>
        </xdr:to>
        <xdr:sp macro="" textlink="">
          <xdr:nvSpPr>
            <xdr:cNvPr id="32770" name="Drop Dow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F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40411</xdr:colOff>
      <xdr:row>0</xdr:row>
      <xdr:rowOff>34635</xdr:rowOff>
    </xdr:from>
    <xdr:to>
      <xdr:col>1</xdr:col>
      <xdr:colOff>17319</xdr:colOff>
      <xdr:row>0</xdr:row>
      <xdr:rowOff>242454</xdr:rowOff>
    </xdr:to>
    <xdr:sp macro="" textlink="">
      <xdr:nvSpPr>
        <xdr:cNvPr id="4" name="Arrow: Left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0411" y="31460"/>
          <a:ext cx="596033" cy="207819"/>
        </a:xfrm>
        <a:prstGeom prst="leftArrow">
          <a:avLst>
            <a:gd name="adj1" fmla="val 57142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Agenda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0</xdr:row>
          <xdr:rowOff>25400</xdr:rowOff>
        </xdr:from>
        <xdr:to>
          <xdr:col>1</xdr:col>
          <xdr:colOff>1727200</xdr:colOff>
          <xdr:row>0</xdr:row>
          <xdr:rowOff>241300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1879600</xdr:colOff>
          <xdr:row>0</xdr:row>
          <xdr:rowOff>25400</xdr:rowOff>
        </xdr:from>
        <xdr:to>
          <xdr:col>3</xdr:col>
          <xdr:colOff>0</xdr:colOff>
          <xdr:row>0</xdr:row>
          <xdr:rowOff>266700</xdr:rowOff>
        </xdr:to>
        <xdr:sp macro="" textlink="">
          <xdr:nvSpPr>
            <xdr:cNvPr id="39938" name="Drop Dow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0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40411</xdr:colOff>
      <xdr:row>0</xdr:row>
      <xdr:rowOff>34635</xdr:rowOff>
    </xdr:from>
    <xdr:to>
      <xdr:col>1</xdr:col>
      <xdr:colOff>17319</xdr:colOff>
      <xdr:row>0</xdr:row>
      <xdr:rowOff>242454</xdr:rowOff>
    </xdr:to>
    <xdr:sp macro="" textlink="">
      <xdr:nvSpPr>
        <xdr:cNvPr id="4" name="Arrow: Left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0411" y="34635"/>
          <a:ext cx="592858" cy="207819"/>
        </a:xfrm>
        <a:prstGeom prst="leftArrow">
          <a:avLst>
            <a:gd name="adj1" fmla="val 57142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Agenda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1054100</xdr:colOff>
          <xdr:row>0</xdr:row>
          <xdr:rowOff>25400</xdr:rowOff>
        </xdr:from>
        <xdr:to>
          <xdr:col>1</xdr:col>
          <xdr:colOff>2108200</xdr:colOff>
          <xdr:row>0</xdr:row>
          <xdr:rowOff>241300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2184400</xdr:colOff>
          <xdr:row>0</xdr:row>
          <xdr:rowOff>38100</xdr:rowOff>
        </xdr:from>
        <xdr:to>
          <xdr:col>2</xdr:col>
          <xdr:colOff>444500</xdr:colOff>
          <xdr:row>0</xdr:row>
          <xdr:rowOff>241300</xdr:rowOff>
        </xdr:to>
        <xdr:sp macro="" textlink="">
          <xdr:nvSpPr>
            <xdr:cNvPr id="35842" name="Drop Dow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40411</xdr:colOff>
      <xdr:row>0</xdr:row>
      <xdr:rowOff>34635</xdr:rowOff>
    </xdr:from>
    <xdr:to>
      <xdr:col>1</xdr:col>
      <xdr:colOff>17319</xdr:colOff>
      <xdr:row>0</xdr:row>
      <xdr:rowOff>242454</xdr:rowOff>
    </xdr:to>
    <xdr:sp macro="" textlink="">
      <xdr:nvSpPr>
        <xdr:cNvPr id="4" name="Arrow: Left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40411" y="34635"/>
          <a:ext cx="592858" cy="207819"/>
        </a:xfrm>
        <a:prstGeom prst="leftArrow">
          <a:avLst>
            <a:gd name="adj1" fmla="val 57142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Agenda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2146300</xdr:colOff>
          <xdr:row>1</xdr:row>
          <xdr:rowOff>139700</xdr:rowOff>
        </xdr:from>
        <xdr:to>
          <xdr:col>3</xdr:col>
          <xdr:colOff>622300</xdr:colOff>
          <xdr:row>2</xdr:row>
          <xdr:rowOff>165100</xdr:rowOff>
        </xdr:to>
        <xdr:sp macro="" textlink="">
          <xdr:nvSpPr>
            <xdr:cNvPr id="35843" name="Drop Dow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1" tint="4.9989318521683403E-2"/>
  </sheetPr>
  <dimension ref="A1:A43"/>
  <sheetViews>
    <sheetView zoomScale="54" zoomScaleNormal="100" workbookViewId="0">
      <selection activeCell="T12" sqref="T12"/>
    </sheetView>
  </sheetViews>
  <sheetFormatPr baseColWidth="10" defaultColWidth="11.1640625" defaultRowHeight="16" x14ac:dyDescent="0.2"/>
  <cols>
    <col min="1" max="1" width="10.83203125" style="5"/>
    <col min="2" max="5" width="11.1640625" style="5"/>
    <col min="6" max="6" width="17.83203125" style="5" customWidth="1"/>
    <col min="7" max="16" width="11.1640625" style="5"/>
    <col min="17" max="21" width="10.83203125" style="5"/>
    <col min="22" max="16384" width="11.1640625" style="5"/>
  </cols>
  <sheetData>
    <row r="1" ht="16" customHeight="1" x14ac:dyDescent="0.2"/>
    <row r="2" ht="16" customHeight="1" x14ac:dyDescent="0.2"/>
    <row r="3" ht="16" customHeight="1" x14ac:dyDescent="0.2"/>
    <row r="4" ht="16" customHeight="1" x14ac:dyDescent="0.2"/>
    <row r="5" ht="16" customHeight="1" x14ac:dyDescent="0.2"/>
    <row r="6" ht="16" customHeight="1" x14ac:dyDescent="0.2"/>
    <row r="7" ht="16" customHeight="1" x14ac:dyDescent="0.2"/>
    <row r="8" ht="16" customHeight="1" x14ac:dyDescent="0.2"/>
    <row r="9" ht="16" customHeight="1" x14ac:dyDescent="0.2"/>
    <row r="10" ht="16" customHeight="1" x14ac:dyDescent="0.2"/>
    <row r="11" ht="16" customHeight="1" x14ac:dyDescent="0.2"/>
    <row r="12" ht="16" customHeight="1" x14ac:dyDescent="0.2"/>
    <row r="13" ht="16" customHeight="1" x14ac:dyDescent="0.2"/>
    <row r="14" ht="16" customHeight="1" x14ac:dyDescent="0.2"/>
    <row r="15" ht="16" customHeight="1" x14ac:dyDescent="0.2"/>
    <row r="16" ht="16" customHeight="1" x14ac:dyDescent="0.2"/>
    <row r="17" ht="16" customHeight="1" x14ac:dyDescent="0.2"/>
    <row r="18" ht="16" customHeight="1" x14ac:dyDescent="0.2"/>
    <row r="19" ht="16" customHeight="1" x14ac:dyDescent="0.2"/>
    <row r="20" ht="16" customHeight="1" x14ac:dyDescent="0.2"/>
    <row r="21" ht="16" customHeight="1" x14ac:dyDescent="0.2"/>
    <row r="22" ht="16" customHeight="1" x14ac:dyDescent="0.2"/>
    <row r="23" ht="16" customHeight="1" x14ac:dyDescent="0.2"/>
    <row r="24" ht="16" customHeight="1" x14ac:dyDescent="0.2"/>
    <row r="25" ht="16" customHeight="1" x14ac:dyDescent="0.2"/>
    <row r="26" ht="16" customHeight="1" x14ac:dyDescent="0.2"/>
    <row r="27" ht="16" customHeight="1" x14ac:dyDescent="0.2"/>
    <row r="28" ht="16" customHeight="1" x14ac:dyDescent="0.2"/>
    <row r="29" ht="16" customHeight="1" x14ac:dyDescent="0.2"/>
    <row r="30" ht="16" customHeight="1" x14ac:dyDescent="0.2"/>
    <row r="31" ht="16" customHeight="1" x14ac:dyDescent="0.2"/>
    <row r="32" ht="16" customHeight="1" x14ac:dyDescent="0.2"/>
    <row r="33" ht="16" customHeight="1" x14ac:dyDescent="0.2"/>
    <row r="34" ht="16" customHeight="1" x14ac:dyDescent="0.2"/>
    <row r="35" ht="16" customHeight="1" x14ac:dyDescent="0.2"/>
    <row r="36" ht="16" customHeight="1" x14ac:dyDescent="0.2"/>
    <row r="37" ht="16" customHeight="1" x14ac:dyDescent="0.2"/>
    <row r="38" ht="16" customHeight="1" x14ac:dyDescent="0.2"/>
    <row r="39" ht="16" customHeight="1" x14ac:dyDescent="0.2"/>
    <row r="40" ht="16" customHeight="1" x14ac:dyDescent="0.2"/>
    <row r="41" ht="16" customHeight="1" x14ac:dyDescent="0.2"/>
    <row r="42" ht="16" customHeight="1" x14ac:dyDescent="0.2"/>
    <row r="43" ht="16" customHeight="1" x14ac:dyDescent="0.2"/>
  </sheetData>
  <sheetProtection algorithmName="SHA-512" hashValue="vp6Lu3WQXWBztmDTKqx3L6jQ/M8o5kemk1qatCbGAhRnY3BjHh8LX9457kKilC1oBGW3JhbesaJjMqDooiyL3w==" saltValue="CIUuq3FNyonDu9/puJ1wYw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theme="1" tint="4.9989318521683403E-2"/>
  </sheetPr>
  <dimension ref="B1:BO93"/>
  <sheetViews>
    <sheetView showGridLines="0" topLeftCell="C1" zoomScale="90" zoomScaleNormal="90" workbookViewId="0">
      <pane ySplit="1" topLeftCell="A2" activePane="bottomLeft" state="frozen"/>
      <selection activeCell="T11" sqref="T11"/>
      <selection pane="bottomLeft" activeCell="K2" sqref="K2"/>
    </sheetView>
  </sheetViews>
  <sheetFormatPr baseColWidth="10" defaultColWidth="8.6640625" defaultRowHeight="16" outlineLevelRow="1" x14ac:dyDescent="0.2"/>
  <cols>
    <col min="1" max="1" width="3" customWidth="1"/>
    <col min="2" max="2" width="15" customWidth="1"/>
    <col min="3" max="3" width="14.33203125" style="8" customWidth="1"/>
    <col min="4" max="4" width="30.5" customWidth="1"/>
    <col min="5" max="5" width="15.83203125" customWidth="1"/>
    <col min="6" max="6" width="15.83203125" style="8" customWidth="1"/>
    <col min="7" max="7" width="15.1640625" customWidth="1"/>
    <col min="8" max="8" width="15" bestFit="1" customWidth="1"/>
    <col min="9" max="9" width="12.1640625" customWidth="1"/>
    <col min="10" max="10" width="9" customWidth="1"/>
    <col min="11" max="11" width="15.33203125" customWidth="1"/>
    <col min="12" max="12" width="2.83203125" customWidth="1"/>
    <col min="13" max="15" width="4.83203125" customWidth="1"/>
    <col min="16" max="16" width="29.6640625" style="8" customWidth="1"/>
    <col min="17" max="17" width="5.83203125" style="8" customWidth="1"/>
    <col min="18" max="18" width="17.83203125" style="8" customWidth="1"/>
    <col min="19" max="19" width="15.83203125" style="8" customWidth="1"/>
    <col min="20" max="20" width="4" style="8" customWidth="1"/>
    <col min="21" max="21" width="3" style="8" customWidth="1"/>
    <col min="22" max="22" width="15.33203125" bestFit="1" customWidth="1"/>
    <col min="25" max="25" width="18.83203125" customWidth="1"/>
  </cols>
  <sheetData>
    <row r="1" spans="2:21" ht="79" customHeight="1" x14ac:dyDescent="0.2">
      <c r="B1" s="63" t="s">
        <v>0</v>
      </c>
      <c r="C1" s="64" t="s">
        <v>1</v>
      </c>
      <c r="E1" s="64" t="s">
        <v>2</v>
      </c>
      <c r="G1" s="155" t="s">
        <v>3</v>
      </c>
      <c r="O1" s="49"/>
      <c r="P1" s="136" t="s">
        <v>4</v>
      </c>
      <c r="Q1" s="68"/>
      <c r="R1" s="68"/>
      <c r="S1" s="68"/>
      <c r="T1" s="68"/>
    </row>
    <row r="2" spans="2:21" x14ac:dyDescent="0.2">
      <c r="J2" s="59"/>
      <c r="O2" s="49"/>
      <c r="P2" s="15" t="s">
        <v>5</v>
      </c>
      <c r="Q2" s="68"/>
      <c r="R2" s="15" t="s">
        <v>14</v>
      </c>
      <c r="S2" s="5"/>
      <c r="T2" s="68"/>
    </row>
    <row r="3" spans="2:21" x14ac:dyDescent="0.2">
      <c r="J3" s="59"/>
      <c r="O3" s="49"/>
      <c r="P3" s="327">
        <v>2</v>
      </c>
      <c r="Q3" s="68"/>
      <c r="R3" s="327">
        <v>3</v>
      </c>
      <c r="S3" s="56"/>
      <c r="T3" s="68"/>
    </row>
    <row r="4" spans="2:21" x14ac:dyDescent="0.2">
      <c r="F4"/>
      <c r="J4" s="59"/>
      <c r="O4" s="49"/>
      <c r="P4" s="135" t="s">
        <v>7</v>
      </c>
      <c r="Q4" s="68"/>
      <c r="R4" s="135" t="s">
        <v>15</v>
      </c>
      <c r="S4" s="117">
        <v>1</v>
      </c>
      <c r="T4" s="68"/>
      <c r="U4"/>
    </row>
    <row r="5" spans="2:21" x14ac:dyDescent="0.2">
      <c r="J5" s="59"/>
      <c r="O5" s="49"/>
      <c r="P5" s="135" t="s">
        <v>9</v>
      </c>
      <c r="Q5" s="68"/>
      <c r="R5" s="135" t="s">
        <v>16</v>
      </c>
      <c r="S5" s="117">
        <v>1.1000000000000001</v>
      </c>
      <c r="T5" s="68"/>
      <c r="U5"/>
    </row>
    <row r="6" spans="2:21" x14ac:dyDescent="0.2">
      <c r="J6" s="59"/>
      <c r="O6" s="49"/>
      <c r="P6" s="135" t="s">
        <v>11</v>
      </c>
      <c r="Q6" s="68"/>
      <c r="R6" s="135" t="s">
        <v>17</v>
      </c>
      <c r="S6" s="117">
        <v>0.7</v>
      </c>
      <c r="T6" s="68"/>
      <c r="U6"/>
    </row>
    <row r="7" spans="2:21" x14ac:dyDescent="0.2">
      <c r="B7" s="64" t="s">
        <v>13</v>
      </c>
      <c r="J7" s="59"/>
      <c r="O7" s="49"/>
      <c r="P7" s="68"/>
      <c r="Q7" s="68"/>
      <c r="R7" s="68"/>
      <c r="S7" s="68"/>
      <c r="T7" s="68"/>
    </row>
    <row r="8" spans="2:21" x14ac:dyDescent="0.2">
      <c r="B8" s="2">
        <v>2025</v>
      </c>
      <c r="J8" s="59"/>
      <c r="O8" s="49"/>
      <c r="P8" s="68"/>
      <c r="Q8" s="68"/>
      <c r="R8" s="40" t="s">
        <v>6</v>
      </c>
      <c r="S8" s="15"/>
      <c r="T8" s="68"/>
    </row>
    <row r="9" spans="2:21" x14ac:dyDescent="0.2">
      <c r="O9" s="49"/>
      <c r="P9" s="68"/>
      <c r="Q9" s="68"/>
      <c r="R9" s="327">
        <v>3</v>
      </c>
      <c r="S9" s="19"/>
      <c r="T9" s="68"/>
    </row>
    <row r="10" spans="2:21" x14ac:dyDescent="0.2">
      <c r="O10" s="49"/>
      <c r="P10" s="68"/>
      <c r="Q10" s="68"/>
      <c r="R10" s="118" t="s">
        <v>8</v>
      </c>
      <c r="S10" s="116">
        <v>0.1</v>
      </c>
      <c r="T10" s="68"/>
    </row>
    <row r="11" spans="2:21" x14ac:dyDescent="0.2">
      <c r="O11" s="49"/>
      <c r="P11" s="68"/>
      <c r="Q11" s="68"/>
      <c r="R11" s="118" t="s">
        <v>10</v>
      </c>
      <c r="S11" s="116">
        <v>0.05</v>
      </c>
      <c r="T11" s="68"/>
    </row>
    <row r="12" spans="2:21" x14ac:dyDescent="0.2">
      <c r="O12" s="49"/>
      <c r="P12" s="68"/>
      <c r="Q12" s="68"/>
      <c r="R12" s="118" t="s">
        <v>12</v>
      </c>
      <c r="S12" s="116">
        <v>0.15</v>
      </c>
      <c r="T12" s="68"/>
    </row>
    <row r="13" spans="2:21" x14ac:dyDescent="0.2">
      <c r="O13" s="49"/>
      <c r="P13" s="68"/>
      <c r="Q13" s="68"/>
      <c r="R13" s="68"/>
      <c r="S13" s="68"/>
      <c r="T13" s="68"/>
    </row>
    <row r="14" spans="2:21" x14ac:dyDescent="0.2">
      <c r="O14" s="49"/>
      <c r="P14" s="68"/>
      <c r="Q14" s="68"/>
      <c r="R14" s="68"/>
      <c r="S14" s="68"/>
      <c r="T14" s="68"/>
    </row>
    <row r="15" spans="2:21" x14ac:dyDescent="0.2">
      <c r="O15" s="5"/>
      <c r="P15" s="18"/>
      <c r="Q15" s="18"/>
      <c r="R15" s="18"/>
      <c r="S15" s="18"/>
      <c r="T15" s="18"/>
    </row>
    <row r="16" spans="2:21" x14ac:dyDescent="0.2">
      <c r="O16" s="5"/>
      <c r="P16" s="18"/>
      <c r="Q16" s="18"/>
      <c r="R16" s="18"/>
      <c r="S16" s="18"/>
      <c r="T16" s="18"/>
    </row>
    <row r="17" spans="2:67" x14ac:dyDescent="0.2">
      <c r="O17" s="5"/>
      <c r="P17" s="18"/>
      <c r="Q17" s="18"/>
      <c r="R17" s="18"/>
      <c r="S17" s="18"/>
      <c r="T17" s="18"/>
    </row>
    <row r="18" spans="2:67" s="57" customFormat="1" ht="20" customHeight="1" x14ac:dyDescent="0.2">
      <c r="B18" s="177">
        <f>B8</f>
        <v>2025</v>
      </c>
      <c r="C18" s="283"/>
      <c r="D18" s="243" t="s">
        <v>18</v>
      </c>
      <c r="E18" s="243"/>
      <c r="F18" s="283"/>
      <c r="G18" s="284"/>
      <c r="H18" s="284"/>
      <c r="I18" s="284"/>
      <c r="J18" s="284"/>
      <c r="K18" s="284"/>
      <c r="L18"/>
      <c r="M18"/>
      <c r="O18" s="5"/>
      <c r="P18" s="18"/>
      <c r="Q18" s="18"/>
      <c r="R18" s="18"/>
      <c r="S18" s="18"/>
      <c r="T18" s="18"/>
      <c r="U18" s="36"/>
    </row>
    <row r="19" spans="2:67" s="96" customFormat="1" ht="28" customHeight="1" x14ac:dyDescent="0.2">
      <c r="B19" s="107"/>
      <c r="C19" s="108"/>
      <c r="D19" s="109" t="s">
        <v>19</v>
      </c>
      <c r="E19" s="160" t="s">
        <v>20</v>
      </c>
      <c r="F19" s="10" t="s">
        <v>21</v>
      </c>
      <c r="G19" s="352" t="s">
        <v>299</v>
      </c>
      <c r="H19" s="352"/>
      <c r="K19" s="107"/>
      <c r="L19"/>
      <c r="M19"/>
      <c r="O19" s="56"/>
      <c r="P19" s="18"/>
      <c r="Q19" s="18"/>
      <c r="R19" s="18"/>
      <c r="S19" s="56"/>
      <c r="T19" s="56"/>
      <c r="U19" s="110"/>
    </row>
    <row r="20" spans="2:67" s="96" customFormat="1" x14ac:dyDescent="0.2">
      <c r="B20" s="111"/>
      <c r="C20" s="112" t="s">
        <v>292</v>
      </c>
      <c r="D20" s="113" t="str">
        <f>INDEX(D21:D23,P3)</f>
        <v>F900+ standard fuel</v>
      </c>
      <c r="E20" s="11" t="str">
        <f>INDEX(E21:E23,$R$9)</f>
        <v>Fuel - Pessimistic</v>
      </c>
      <c r="F20" s="20">
        <f>INDEX(F21:F23,R9)</f>
        <v>0.15</v>
      </c>
      <c r="G20" s="137" t="str">
        <f>INDEX(G21:G23,R3)</f>
        <v>FX Pessimistic</v>
      </c>
      <c r="H20" s="65">
        <f>INDEX(H21:H23,R3)</f>
        <v>0.7</v>
      </c>
      <c r="J20" s="125"/>
      <c r="O20" s="106"/>
      <c r="P20" s="18"/>
      <c r="Q20" s="18"/>
      <c r="R20" s="18"/>
      <c r="S20" s="106"/>
      <c r="T20" s="106"/>
      <c r="U20" s="110"/>
    </row>
    <row r="21" spans="2:67" s="96" customFormat="1" x14ac:dyDescent="0.2">
      <c r="C21" s="114"/>
      <c r="D21" s="115" t="str">
        <f>$P4</f>
        <v xml:space="preserve">F900 </v>
      </c>
      <c r="E21" s="106" t="str">
        <f t="shared" ref="E21:F23" si="0">R10</f>
        <v>Fuel - Base</v>
      </c>
      <c r="F21" s="116">
        <f t="shared" si="0"/>
        <v>0.1</v>
      </c>
      <c r="G21" s="138" t="str">
        <f t="shared" ref="G21:H23" si="1">R4</f>
        <v>FX Standard</v>
      </c>
      <c r="H21" s="117">
        <f t="shared" si="1"/>
        <v>1</v>
      </c>
      <c r="I21" s="156"/>
      <c r="J21" s="125"/>
      <c r="O21" s="106"/>
      <c r="P21" s="18"/>
      <c r="Q21" s="18"/>
      <c r="R21" s="18"/>
      <c r="S21" s="106"/>
      <c r="T21" s="106"/>
      <c r="U21" s="110"/>
    </row>
    <row r="22" spans="2:67" s="107" customFormat="1" x14ac:dyDescent="0.2">
      <c r="B22" s="96"/>
      <c r="C22" s="114"/>
      <c r="D22" s="115" t="str">
        <f>$P5</f>
        <v>F900+ standard fuel</v>
      </c>
      <c r="E22" s="106" t="str">
        <f t="shared" si="0"/>
        <v>Fuel - Optimistic</v>
      </c>
      <c r="F22" s="116">
        <f t="shared" si="0"/>
        <v>0.05</v>
      </c>
      <c r="G22" s="138" t="str">
        <f t="shared" si="1"/>
        <v>FX Optimistic</v>
      </c>
      <c r="H22" s="117">
        <f t="shared" si="1"/>
        <v>1.1000000000000001</v>
      </c>
      <c r="I22" s="156"/>
      <c r="J22" s="96"/>
      <c r="K22" s="96"/>
      <c r="L22" s="96"/>
      <c r="M22" s="96"/>
      <c r="O22" s="106"/>
      <c r="P22" s="18"/>
      <c r="Q22" s="18"/>
      <c r="R22" s="18"/>
      <c r="S22" s="118"/>
      <c r="T22" s="106"/>
    </row>
    <row r="23" spans="2:67" s="107" customFormat="1" x14ac:dyDescent="0.2">
      <c r="B23" s="96"/>
      <c r="C23" s="114"/>
      <c r="D23" s="115" t="str">
        <f>$P6</f>
        <v>F900+ biofuel</v>
      </c>
      <c r="E23" s="106" t="str">
        <f t="shared" si="0"/>
        <v>Fuel - Pessimistic</v>
      </c>
      <c r="F23" s="116">
        <f t="shared" si="0"/>
        <v>0.15</v>
      </c>
      <c r="G23" s="138" t="str">
        <f t="shared" si="1"/>
        <v>FX Pessimistic</v>
      </c>
      <c r="H23" s="117">
        <f t="shared" si="1"/>
        <v>0.7</v>
      </c>
      <c r="I23" s="156"/>
      <c r="J23" s="96"/>
      <c r="K23" s="96"/>
      <c r="L23" s="96"/>
      <c r="M23" s="96"/>
      <c r="O23" s="106"/>
      <c r="P23" s="18"/>
      <c r="Q23" s="18"/>
      <c r="R23" s="18"/>
      <c r="S23" s="118"/>
      <c r="T23" s="106"/>
    </row>
    <row r="24" spans="2:67" x14ac:dyDescent="0.2">
      <c r="B24" s="5"/>
      <c r="C24" s="15"/>
      <c r="D24" s="16"/>
      <c r="E24" s="16"/>
      <c r="F24" s="13"/>
      <c r="G24" s="5"/>
      <c r="H24" s="5"/>
      <c r="I24" s="5"/>
      <c r="J24" s="5"/>
      <c r="K24" s="5"/>
      <c r="L24" s="5"/>
      <c r="M24" s="5"/>
      <c r="O24" s="342"/>
      <c r="P24" s="18"/>
      <c r="Q24" s="18"/>
      <c r="R24" s="18"/>
      <c r="S24" s="118"/>
      <c r="T24" s="5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</row>
    <row r="25" spans="2:67" s="5" customFormat="1" x14ac:dyDescent="0.2">
      <c r="C25" s="15"/>
      <c r="I25"/>
      <c r="J25"/>
      <c r="N25" s="18"/>
      <c r="O25" s="118"/>
      <c r="P25" s="118"/>
      <c r="Q25" s="118"/>
      <c r="R25" s="119"/>
      <c r="S25" s="119"/>
      <c r="T25" s="119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</row>
    <row r="26" spans="2:67" s="5" customFormat="1" x14ac:dyDescent="0.2">
      <c r="B26" s="285"/>
      <c r="C26" s="286" t="s">
        <v>22</v>
      </c>
      <c r="D26" s="274"/>
      <c r="E26" s="274"/>
      <c r="F26" s="287"/>
      <c r="G26" s="288"/>
      <c r="H26" s="288"/>
      <c r="I26" s="288"/>
      <c r="J26" s="288"/>
      <c r="K26" s="288"/>
      <c r="L26"/>
      <c r="M26"/>
      <c r="N26" s="18"/>
      <c r="O26" s="18"/>
      <c r="P26" s="18"/>
      <c r="Q26" s="18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</row>
    <row r="27" spans="2:67" s="5" customFormat="1" x14ac:dyDescent="0.2">
      <c r="D27" s="296" t="s">
        <v>23</v>
      </c>
      <c r="E27" s="165">
        <v>0.02</v>
      </c>
      <c r="I27"/>
      <c r="J27"/>
      <c r="O27" s="18"/>
      <c r="P27" s="18"/>
      <c r="Q27" s="18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</row>
    <row r="28" spans="2:67" s="5" customFormat="1" x14ac:dyDescent="0.2">
      <c r="D28" s="296" t="s">
        <v>24</v>
      </c>
      <c r="E28" s="165">
        <v>0.15</v>
      </c>
      <c r="I28"/>
      <c r="J28"/>
      <c r="N28"/>
      <c r="O28" s="18"/>
      <c r="P28" s="18"/>
      <c r="Q28" s="18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</row>
    <row r="29" spans="2:67" s="5" customFormat="1" x14ac:dyDescent="0.2">
      <c r="D29" s="40" t="s">
        <v>25</v>
      </c>
      <c r="E29" s="166">
        <v>0.25</v>
      </c>
      <c r="I29"/>
      <c r="J29"/>
      <c r="O29" s="18"/>
      <c r="P29" s="18"/>
      <c r="Q29" s="18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</row>
    <row r="30" spans="2:67" s="5" customFormat="1" x14ac:dyDescent="0.2">
      <c r="C30" s="15"/>
      <c r="D30" s="16"/>
      <c r="E30" s="16"/>
      <c r="F30" s="13"/>
      <c r="I30"/>
      <c r="J30"/>
      <c r="O30" s="18"/>
      <c r="P30" s="18"/>
      <c r="Q30" s="18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</row>
    <row r="31" spans="2:67" s="5" customFormat="1" x14ac:dyDescent="0.2">
      <c r="B31" s="285"/>
      <c r="C31" s="285" t="s">
        <v>26</v>
      </c>
      <c r="D31" s="274"/>
      <c r="E31" s="274"/>
      <c r="F31" s="287"/>
      <c r="G31" s="288"/>
      <c r="H31" s="288"/>
      <c r="I31" s="288"/>
      <c r="J31" s="288"/>
      <c r="K31" s="288"/>
      <c r="L31"/>
      <c r="M31"/>
      <c r="O31" s="18"/>
      <c r="P31" s="18"/>
      <c r="Q31" s="18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</row>
    <row r="32" spans="2:67" s="5" customFormat="1" x14ac:dyDescent="0.2">
      <c r="B32" s="151"/>
      <c r="C32" s="321"/>
      <c r="D32" s="6"/>
      <c r="E32" s="152"/>
      <c r="F32" s="153"/>
      <c r="G32" s="154"/>
      <c r="H32" s="154"/>
      <c r="I32" s="154"/>
      <c r="J32" s="154"/>
      <c r="K32" s="154"/>
      <c r="L32"/>
      <c r="M32"/>
      <c r="N32"/>
      <c r="O32" s="18"/>
      <c r="P32" s="18"/>
      <c r="Q32" s="18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</row>
    <row r="33" spans="2:67" s="5" customFormat="1" x14ac:dyDescent="0.2">
      <c r="B33" s="326" t="s">
        <v>27</v>
      </c>
      <c r="D33" s="6"/>
      <c r="E33" s="152"/>
      <c r="F33" s="153"/>
      <c r="G33" s="154"/>
      <c r="H33" s="154"/>
      <c r="I33" s="154"/>
      <c r="J33" s="154"/>
      <c r="K33" s="154"/>
      <c r="L33"/>
      <c r="M33"/>
      <c r="N33"/>
      <c r="O33" s="18"/>
      <c r="P33" s="18"/>
      <c r="Q33" s="18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</row>
    <row r="34" spans="2:67" s="5" customFormat="1" x14ac:dyDescent="0.2">
      <c r="B34" s="279" t="s">
        <v>28</v>
      </c>
      <c r="C34" s="322"/>
      <c r="D34" s="6"/>
      <c r="E34" s="152"/>
      <c r="F34" s="153"/>
      <c r="G34" s="154"/>
      <c r="H34" s="154"/>
      <c r="I34" s="154"/>
      <c r="J34" s="154"/>
      <c r="K34" s="154"/>
      <c r="L34"/>
      <c r="M34"/>
      <c r="N34"/>
      <c r="O34" s="18"/>
      <c r="P34" s="18"/>
      <c r="Q34" s="18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</row>
    <row r="35" spans="2:67" s="5" customFormat="1" x14ac:dyDescent="0.2">
      <c r="B35" s="279" t="s">
        <v>29</v>
      </c>
      <c r="C35" s="322"/>
      <c r="D35" s="6"/>
      <c r="E35" s="152"/>
      <c r="F35" s="153"/>
      <c r="G35" s="154"/>
      <c r="H35" s="154"/>
      <c r="I35" s="154"/>
      <c r="J35" s="154"/>
      <c r="K35" s="154"/>
      <c r="L35"/>
      <c r="M35"/>
      <c r="N35"/>
      <c r="O35" s="18"/>
      <c r="P35" s="18"/>
      <c r="Q35" s="18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</row>
    <row r="36" spans="2:67" s="5" customFormat="1" x14ac:dyDescent="0.2">
      <c r="B36" s="279" t="s">
        <v>30</v>
      </c>
      <c r="C36" s="321"/>
      <c r="D36" s="6"/>
      <c r="E36" s="152"/>
      <c r="F36" s="153"/>
      <c r="G36" s="154"/>
      <c r="H36" s="154"/>
      <c r="I36" s="154"/>
      <c r="J36" s="154"/>
      <c r="K36" s="154"/>
      <c r="L36"/>
      <c r="M36"/>
      <c r="N36"/>
      <c r="O36" s="18"/>
      <c r="P36" s="18"/>
      <c r="Q36" s="18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</row>
    <row r="37" spans="2:67" s="5" customFormat="1" x14ac:dyDescent="0.2">
      <c r="B37" s="321"/>
      <c r="C37" s="321"/>
      <c r="D37" s="6"/>
      <c r="E37" s="152"/>
      <c r="F37" s="153"/>
      <c r="G37" s="154"/>
      <c r="H37" s="154"/>
      <c r="I37" s="154"/>
      <c r="J37" s="154"/>
      <c r="K37" s="154"/>
      <c r="L37"/>
      <c r="M37"/>
      <c r="N37"/>
      <c r="O37" s="18"/>
      <c r="P37" s="18"/>
      <c r="Q37" s="18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</row>
    <row r="38" spans="2:67" x14ac:dyDescent="0.2">
      <c r="B38" s="151"/>
      <c r="C38" s="151"/>
      <c r="D38" s="152"/>
      <c r="E38" s="152"/>
      <c r="F38" s="153"/>
      <c r="G38" s="154"/>
      <c r="H38" s="154"/>
      <c r="I38" s="154"/>
      <c r="J38" s="154"/>
      <c r="K38" s="154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</row>
    <row r="39" spans="2:67" x14ac:dyDescent="0.2">
      <c r="B39" s="151"/>
      <c r="C39" s="151"/>
      <c r="D39" s="152"/>
      <c r="E39" s="152"/>
      <c r="F39" s="153"/>
      <c r="G39" s="154"/>
      <c r="H39" s="154"/>
      <c r="I39" s="154"/>
      <c r="J39" s="154"/>
      <c r="K39" s="154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</row>
    <row r="40" spans="2:67" x14ac:dyDescent="0.2">
      <c r="B40" s="151"/>
      <c r="C40" s="151"/>
      <c r="D40" s="152"/>
      <c r="E40" s="152"/>
      <c r="F40" s="153"/>
      <c r="G40" s="154"/>
      <c r="H40" s="154"/>
      <c r="I40" s="154"/>
      <c r="J40" s="154"/>
      <c r="K40" s="154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</row>
    <row r="41" spans="2:67" ht="29" x14ac:dyDescent="0.35">
      <c r="B41" s="313" t="s">
        <v>31</v>
      </c>
      <c r="C41" s="18"/>
      <c r="D41" s="23"/>
      <c r="E41" s="23"/>
      <c r="F41" s="18"/>
      <c r="G41" s="24"/>
      <c r="H41" s="24"/>
      <c r="I41" s="24"/>
      <c r="J41" s="24"/>
      <c r="K41" s="24"/>
      <c r="L41" s="5"/>
      <c r="M41" s="5"/>
      <c r="N41" s="5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</row>
    <row r="42" spans="2:67" s="5" customFormat="1" x14ac:dyDescent="0.2">
      <c r="B42" s="15"/>
      <c r="C42" s="18"/>
      <c r="D42" s="23"/>
      <c r="E42" s="23"/>
      <c r="F42" s="18"/>
      <c r="G42" s="24"/>
      <c r="H42" s="24"/>
      <c r="I42" s="24"/>
      <c r="J42" s="24"/>
      <c r="K42" s="24"/>
      <c r="P42" s="18"/>
      <c r="Q42" s="18"/>
      <c r="R42" s="18"/>
      <c r="S42" s="18"/>
      <c r="T42" s="18"/>
      <c r="U42" s="18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</row>
    <row r="43" spans="2:67" s="5" customFormat="1" outlineLevel="1" x14ac:dyDescent="0.2">
      <c r="B43" s="15"/>
      <c r="C43" s="18"/>
      <c r="D43" s="23"/>
      <c r="E43" s="23"/>
      <c r="F43" s="18"/>
      <c r="G43" s="24"/>
      <c r="H43" s="24"/>
      <c r="I43" s="24"/>
      <c r="J43" s="24"/>
      <c r="K43" s="24"/>
      <c r="P43" s="18"/>
      <c r="Q43" s="18"/>
      <c r="R43" s="18"/>
      <c r="S43" s="18"/>
      <c r="T43" s="18"/>
      <c r="U43" s="18"/>
      <c r="W43" s="21"/>
      <c r="X43" s="22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</row>
    <row r="44" spans="2:67" s="5" customFormat="1" outlineLevel="1" x14ac:dyDescent="0.2">
      <c r="B44" s="15"/>
      <c r="C44" s="18"/>
      <c r="D44" s="23"/>
      <c r="E44" s="23"/>
      <c r="F44" s="18"/>
      <c r="G44" s="24"/>
      <c r="H44" s="24"/>
      <c r="I44" s="24"/>
      <c r="J44" s="24"/>
      <c r="K44" s="24"/>
      <c r="P44" s="18"/>
      <c r="Q44" s="18"/>
      <c r="R44" s="18"/>
      <c r="S44" s="18"/>
      <c r="T44" s="18"/>
      <c r="U44" s="18"/>
      <c r="W44" s="21"/>
      <c r="X44" s="22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</row>
    <row r="45" spans="2:67" s="5" customFormat="1" outlineLevel="1" x14ac:dyDescent="0.2">
      <c r="B45" s="15"/>
      <c r="C45" s="18"/>
      <c r="D45" s="23"/>
      <c r="E45" s="23"/>
      <c r="F45" s="18"/>
      <c r="G45" s="24"/>
      <c r="H45" s="24"/>
      <c r="I45" s="24"/>
      <c r="J45" s="24"/>
      <c r="K45" s="24"/>
      <c r="P45" s="18"/>
      <c r="Q45" s="18"/>
      <c r="R45" s="18"/>
      <c r="S45" s="18"/>
      <c r="T45" s="18"/>
      <c r="U45" s="18"/>
      <c r="W45" s="21"/>
      <c r="X45" s="22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</row>
    <row r="46" spans="2:67" s="5" customFormat="1" outlineLevel="1" x14ac:dyDescent="0.2">
      <c r="B46" s="15"/>
      <c r="C46" s="18"/>
      <c r="D46" s="23"/>
      <c r="E46" s="23"/>
      <c r="F46" s="18"/>
      <c r="G46" s="24"/>
      <c r="H46" s="24"/>
      <c r="I46" s="24"/>
      <c r="J46" s="24"/>
      <c r="K46" s="24"/>
      <c r="P46" s="18"/>
      <c r="Q46" s="18"/>
      <c r="R46" s="18"/>
      <c r="S46" s="18"/>
      <c r="T46" s="18"/>
      <c r="U46" s="18"/>
      <c r="W46" s="21"/>
      <c r="X46" s="22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</row>
    <row r="47" spans="2:67" s="5" customFormat="1" outlineLevel="1" x14ac:dyDescent="0.2">
      <c r="B47" s="15"/>
      <c r="C47" s="18"/>
      <c r="D47" s="23"/>
      <c r="E47" s="23"/>
      <c r="F47" s="18"/>
      <c r="G47" s="24"/>
      <c r="H47" s="24"/>
      <c r="I47" s="24"/>
      <c r="J47" s="24"/>
      <c r="K47" s="24"/>
      <c r="P47" s="18"/>
      <c r="Q47" s="18"/>
      <c r="R47" s="18"/>
      <c r="S47" s="18"/>
      <c r="T47" s="18"/>
      <c r="U47" s="18"/>
      <c r="W47" s="21"/>
      <c r="X47" s="22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</row>
    <row r="48" spans="2:67" s="5" customFormat="1" outlineLevel="1" x14ac:dyDescent="0.2">
      <c r="B48" s="15"/>
      <c r="C48" s="18"/>
      <c r="D48" s="23"/>
      <c r="E48" s="23"/>
      <c r="F48" s="18"/>
      <c r="G48" s="24"/>
      <c r="H48" s="24"/>
      <c r="I48" s="24"/>
      <c r="J48" s="24"/>
      <c r="K48" s="24"/>
      <c r="P48" s="18"/>
      <c r="Q48" s="18"/>
      <c r="R48" s="18"/>
      <c r="S48" s="18"/>
      <c r="T48" s="18"/>
      <c r="U48" s="18"/>
      <c r="W48" s="21"/>
      <c r="X48" s="22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</row>
    <row r="49" spans="2:67" s="5" customFormat="1" outlineLevel="1" x14ac:dyDescent="0.2">
      <c r="B49" s="15"/>
      <c r="C49" s="18"/>
      <c r="D49" s="23"/>
      <c r="E49" s="23"/>
      <c r="F49" s="18"/>
      <c r="G49" s="24"/>
      <c r="H49" s="24"/>
      <c r="I49" s="24"/>
      <c r="J49" s="24"/>
      <c r="K49" s="24"/>
      <c r="P49" s="18"/>
      <c r="Q49" s="18"/>
      <c r="R49" s="18"/>
      <c r="S49" s="18"/>
      <c r="T49" s="18"/>
      <c r="U49" s="18"/>
      <c r="W49" s="21"/>
      <c r="X49" s="22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</row>
    <row r="50" spans="2:67" s="5" customFormat="1" outlineLevel="1" x14ac:dyDescent="0.2">
      <c r="B50" s="15"/>
      <c r="C50" s="18"/>
      <c r="D50" s="23"/>
      <c r="E50" s="23"/>
      <c r="F50" s="18"/>
      <c r="G50" s="24"/>
      <c r="H50" s="24"/>
      <c r="I50" s="24"/>
      <c r="J50" s="24"/>
      <c r="K50" s="24"/>
      <c r="P50" s="18"/>
      <c r="Q50" s="18"/>
      <c r="R50" s="18"/>
      <c r="S50" s="18"/>
      <c r="T50" s="18"/>
      <c r="U50" s="18"/>
      <c r="W50" s="21"/>
      <c r="X50" s="22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</row>
    <row r="51" spans="2:67" s="5" customFormat="1" outlineLevel="1" x14ac:dyDescent="0.2">
      <c r="B51" s="15"/>
      <c r="C51" s="18"/>
      <c r="D51" s="23"/>
      <c r="E51" s="23"/>
      <c r="F51" s="18"/>
      <c r="G51" s="24"/>
      <c r="H51" s="24"/>
      <c r="I51" s="24"/>
      <c r="J51" s="24"/>
      <c r="K51" s="24"/>
      <c r="P51" s="18"/>
      <c r="Q51" s="18"/>
      <c r="R51" s="18"/>
      <c r="S51" s="18"/>
      <c r="T51" s="18"/>
      <c r="U51" s="18"/>
      <c r="W51" s="21"/>
      <c r="X51" s="22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</row>
    <row r="52" spans="2:67" s="5" customFormat="1" outlineLevel="1" x14ac:dyDescent="0.2">
      <c r="B52" s="15"/>
      <c r="C52" s="18"/>
      <c r="D52" s="23"/>
      <c r="E52" s="23"/>
      <c r="F52" s="18"/>
      <c r="G52" s="24"/>
      <c r="H52" s="24"/>
      <c r="I52" s="24"/>
      <c r="J52" s="24"/>
      <c r="K52" s="24"/>
      <c r="P52" s="18"/>
      <c r="Q52" s="18"/>
      <c r="R52" s="18"/>
      <c r="S52" s="18"/>
      <c r="T52" s="18"/>
      <c r="U52" s="18"/>
      <c r="W52" s="21"/>
      <c r="X52" s="22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</row>
    <row r="53" spans="2:67" s="5" customFormat="1" outlineLevel="1" x14ac:dyDescent="0.2">
      <c r="B53" s="15"/>
      <c r="C53" s="18"/>
      <c r="D53" s="23"/>
      <c r="E53" s="23"/>
      <c r="F53" s="18"/>
      <c r="G53" s="24"/>
      <c r="H53" s="24"/>
      <c r="I53" s="24"/>
      <c r="J53" s="24"/>
      <c r="K53" s="24"/>
      <c r="P53" s="18"/>
      <c r="Q53" s="18"/>
      <c r="R53" s="18"/>
      <c r="S53" s="18"/>
      <c r="T53" s="18"/>
      <c r="U53" s="18"/>
      <c r="W53" s="21"/>
      <c r="X53" s="22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</row>
    <row r="54" spans="2:67" s="5" customFormat="1" outlineLevel="1" x14ac:dyDescent="0.2">
      <c r="B54" s="15"/>
      <c r="C54" s="18"/>
      <c r="D54" s="23"/>
      <c r="E54" s="23"/>
      <c r="F54" s="18"/>
      <c r="G54" s="24"/>
      <c r="H54" s="24"/>
      <c r="I54" s="24"/>
      <c r="J54" s="24"/>
      <c r="K54" s="24"/>
      <c r="P54" s="18"/>
      <c r="Q54" s="18"/>
      <c r="R54" s="18"/>
      <c r="S54" s="18"/>
      <c r="T54" s="18"/>
      <c r="U54" s="18"/>
      <c r="W54" s="21"/>
      <c r="X54" s="22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</row>
    <row r="55" spans="2:67" s="5" customFormat="1" outlineLevel="1" x14ac:dyDescent="0.2">
      <c r="B55" s="15"/>
      <c r="C55" s="15" t="s">
        <v>32</v>
      </c>
      <c r="D55" s="23"/>
      <c r="E55" s="23"/>
      <c r="F55" s="18"/>
      <c r="G55" s="24"/>
      <c r="H55" s="24"/>
      <c r="I55" s="24"/>
      <c r="J55" s="24"/>
      <c r="K55" s="24"/>
      <c r="P55" s="18"/>
      <c r="Q55" s="18"/>
      <c r="R55" s="18"/>
      <c r="S55" s="18"/>
      <c r="T55" s="18"/>
      <c r="U55" s="18"/>
      <c r="W55" s="21"/>
      <c r="X55" s="22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</row>
    <row r="56" spans="2:67" s="5" customFormat="1" outlineLevel="1" x14ac:dyDescent="0.2">
      <c r="B56" s="15"/>
      <c r="C56" s="15"/>
      <c r="D56" s="129" t="s">
        <v>28</v>
      </c>
      <c r="E56" s="129" t="s">
        <v>29</v>
      </c>
      <c r="F56" s="18"/>
      <c r="G56" s="24"/>
      <c r="H56" s="24"/>
      <c r="I56" s="24"/>
      <c r="J56" s="24"/>
      <c r="K56" s="24"/>
      <c r="P56" s="18"/>
      <c r="Q56" s="18"/>
      <c r="R56" s="18"/>
      <c r="S56" s="18"/>
      <c r="T56" s="18"/>
      <c r="U56" s="18"/>
      <c r="W56" s="21"/>
      <c r="X56" s="22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</row>
    <row r="57" spans="2:67" s="5" customFormat="1" outlineLevel="1" x14ac:dyDescent="0.2">
      <c r="B57" s="15"/>
      <c r="C57" s="130" t="s">
        <v>33</v>
      </c>
      <c r="D57" s="131">
        <f>NPV(E28,'P&amp;L'!D18:H18)</f>
        <v>18693.093001647834</v>
      </c>
      <c r="E57" s="131">
        <f>C35</f>
        <v>0</v>
      </c>
      <c r="F57" s="18"/>
      <c r="G57" s="24"/>
      <c r="H57" s="24"/>
      <c r="I57" s="24"/>
      <c r="J57" s="24"/>
      <c r="K57" s="24"/>
      <c r="P57" s="18"/>
      <c r="Q57" s="18"/>
      <c r="R57" s="18"/>
      <c r="S57" s="18"/>
      <c r="T57" s="18"/>
      <c r="U57" s="18"/>
      <c r="W57" s="21"/>
      <c r="X57" s="22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</row>
    <row r="58" spans="2:67" s="5" customFormat="1" outlineLevel="1" x14ac:dyDescent="0.2">
      <c r="B58" s="15" t="str">
        <f>P4</f>
        <v xml:space="preserve">F900 </v>
      </c>
      <c r="C58" s="132">
        <v>1</v>
      </c>
      <c r="D58" s="134">
        <f t="dataTable" ref="D58:E60" dt2D="0" dtr="0" r1="P3"/>
        <v>17860.464102488793</v>
      </c>
      <c r="E58" s="325">
        <v>0</v>
      </c>
      <c r="F58" s="133"/>
      <c r="G58" s="50"/>
      <c r="H58" s="50"/>
      <c r="I58" s="24"/>
      <c r="J58" s="24"/>
      <c r="K58" s="24"/>
      <c r="P58" s="18"/>
      <c r="Q58" s="18"/>
      <c r="R58" s="18"/>
      <c r="S58" s="18"/>
      <c r="T58" s="18"/>
      <c r="U58" s="18"/>
      <c r="W58" s="21"/>
      <c r="X58" s="22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</row>
    <row r="59" spans="2:67" s="5" customFormat="1" outlineLevel="1" x14ac:dyDescent="0.2">
      <c r="B59" s="15" t="str">
        <f t="shared" ref="B59:B60" si="2">P5</f>
        <v>F900+ standard fuel</v>
      </c>
      <c r="C59" s="101">
        <v>2</v>
      </c>
      <c r="D59" s="134">
        <v>18693.093001647834</v>
      </c>
      <c r="E59" s="325">
        <v>0</v>
      </c>
      <c r="F59" s="133"/>
      <c r="G59" s="50"/>
      <c r="H59" s="50"/>
      <c r="I59" s="24"/>
      <c r="J59" s="24"/>
      <c r="K59" s="24"/>
      <c r="P59" s="18"/>
      <c r="Q59" s="18"/>
      <c r="R59" s="18"/>
      <c r="S59" s="18"/>
      <c r="T59" s="18"/>
      <c r="U59" s="18"/>
      <c r="W59" s="21"/>
      <c r="X59" s="22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</row>
    <row r="60" spans="2:67" s="5" customFormat="1" outlineLevel="1" x14ac:dyDescent="0.2">
      <c r="B60" s="15" t="str">
        <f t="shared" si="2"/>
        <v>F900+ biofuel</v>
      </c>
      <c r="C60" s="101">
        <v>3</v>
      </c>
      <c r="D60" s="134">
        <v>16760.275827734789</v>
      </c>
      <c r="E60" s="134">
        <v>0</v>
      </c>
      <c r="F60" s="133"/>
      <c r="G60" s="50"/>
      <c r="H60" s="50"/>
      <c r="I60" s="24"/>
      <c r="J60" s="24"/>
      <c r="K60" s="24"/>
      <c r="P60" s="18"/>
      <c r="Q60" s="18"/>
      <c r="R60" s="18"/>
      <c r="S60" s="18"/>
      <c r="T60" s="18"/>
      <c r="U60" s="18"/>
      <c r="W60" s="21"/>
      <c r="X60" s="22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</row>
    <row r="61" spans="2:67" s="5" customFormat="1" outlineLevel="1" x14ac:dyDescent="0.2">
      <c r="B61" s="15"/>
      <c r="C61" s="18"/>
      <c r="D61" s="23"/>
      <c r="E61" s="23"/>
      <c r="F61" s="18"/>
      <c r="G61" s="24"/>
      <c r="H61" s="24"/>
      <c r="I61" s="24"/>
      <c r="J61" s="24"/>
      <c r="K61" s="24"/>
      <c r="P61" s="18"/>
      <c r="Q61" s="18"/>
      <c r="R61" s="18"/>
      <c r="S61" s="18"/>
      <c r="T61" s="18"/>
      <c r="U61" s="18"/>
      <c r="W61" s="21"/>
      <c r="X61" s="22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</row>
    <row r="62" spans="2:67" s="5" customFormat="1" outlineLevel="1" x14ac:dyDescent="0.2">
      <c r="B62"/>
      <c r="C62" s="8"/>
      <c r="D62" s="36"/>
      <c r="E62" s="37"/>
      <c r="F62" s="38"/>
      <c r="G62" s="37"/>
      <c r="H62" s="37"/>
      <c r="I62" s="37"/>
      <c r="J62" s="37"/>
      <c r="K62" s="37"/>
      <c r="L62"/>
      <c r="M62"/>
      <c r="N62"/>
      <c r="P62" s="18"/>
      <c r="Q62" s="18"/>
      <c r="R62" s="18"/>
      <c r="S62" s="18"/>
      <c r="T62" s="18"/>
      <c r="U62" s="18"/>
      <c r="W62" s="21"/>
      <c r="X62" s="22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</row>
    <row r="63" spans="2:67" s="26" customFormat="1" outlineLevel="1" x14ac:dyDescent="0.2">
      <c r="B63"/>
      <c r="C63" s="8"/>
      <c r="D63" s="36"/>
      <c r="E63" s="37"/>
      <c r="F63" s="38"/>
      <c r="G63" s="37"/>
      <c r="H63" s="37"/>
      <c r="I63" s="37"/>
      <c r="J63" s="37"/>
      <c r="K63" s="37"/>
      <c r="L63"/>
      <c r="M63"/>
      <c r="N63"/>
      <c r="O63" s="5"/>
      <c r="P63" s="18"/>
      <c r="Q63" s="18"/>
      <c r="R63" s="18"/>
      <c r="S63" s="18"/>
      <c r="T63" s="18"/>
      <c r="W63" s="22"/>
      <c r="X63" s="22"/>
      <c r="Y63" s="22"/>
      <c r="Z63" s="22"/>
      <c r="AA63" s="22"/>
      <c r="AB63" s="27"/>
      <c r="AC63" s="27"/>
      <c r="AD63" s="27"/>
      <c r="AE63" s="27"/>
      <c r="AF63" s="27"/>
      <c r="AG63" s="27"/>
    </row>
    <row r="64" spans="2:67" s="28" customFormat="1" outlineLevel="1" x14ac:dyDescent="0.2">
      <c r="B64"/>
      <c r="C64" s="8"/>
      <c r="D64" s="36"/>
      <c r="E64" s="37"/>
      <c r="F64" s="38"/>
      <c r="G64" s="37"/>
      <c r="H64" s="37"/>
      <c r="I64" s="37"/>
      <c r="J64" s="37"/>
      <c r="K64" s="37"/>
      <c r="L64"/>
      <c r="M64"/>
      <c r="N64"/>
      <c r="O64" s="26"/>
      <c r="P64" s="26"/>
      <c r="Q64" s="26"/>
      <c r="R64" s="26"/>
      <c r="S64" s="26"/>
      <c r="T64" s="26"/>
      <c r="W64" s="25"/>
      <c r="X64" s="25"/>
      <c r="Y64" s="25"/>
      <c r="Z64" s="25"/>
      <c r="AA64" s="22"/>
      <c r="AB64" s="27"/>
      <c r="AC64" s="27"/>
      <c r="AD64" s="27"/>
      <c r="AE64" s="27"/>
      <c r="AF64" s="27"/>
      <c r="AG64" s="27"/>
    </row>
    <row r="65" spans="2:67" s="29" customFormat="1" outlineLevel="1" x14ac:dyDescent="0.2">
      <c r="B65"/>
      <c r="C65" s="8"/>
      <c r="D65" s="36"/>
      <c r="E65" s="37"/>
      <c r="F65" s="38"/>
      <c r="G65" s="37"/>
      <c r="H65" s="37"/>
      <c r="I65" s="37"/>
      <c r="J65" s="37"/>
      <c r="K65" s="37"/>
      <c r="L65"/>
      <c r="M65"/>
      <c r="N65"/>
      <c r="O65" s="28"/>
      <c r="P65" s="28"/>
      <c r="Q65" s="28"/>
      <c r="R65" s="28"/>
      <c r="S65" s="28"/>
      <c r="T65" s="28"/>
      <c r="U65" s="30"/>
      <c r="W65" s="31"/>
      <c r="X65" s="32"/>
      <c r="Y65" s="17"/>
      <c r="Z65" s="32"/>
      <c r="AA65" s="17"/>
      <c r="AB65" s="12"/>
      <c r="AC65" s="12"/>
      <c r="AD65" s="12"/>
      <c r="AE65" s="12"/>
      <c r="AF65" s="12"/>
      <c r="AG65" s="12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</row>
    <row r="66" spans="2:67" outlineLevel="1" x14ac:dyDescent="0.2">
      <c r="O66" s="29"/>
      <c r="P66" s="30"/>
      <c r="Q66" s="30"/>
      <c r="R66" s="30"/>
      <c r="S66" s="30"/>
      <c r="T66" s="30"/>
      <c r="W66" s="31"/>
      <c r="X66" s="32"/>
      <c r="Y66" s="34"/>
      <c r="Z66" s="32"/>
      <c r="AA66" s="17"/>
      <c r="AB66" s="17"/>
      <c r="AC66" s="17"/>
      <c r="AD66" s="17"/>
      <c r="AE66" s="17"/>
      <c r="AF66" s="17"/>
      <c r="AG66" s="17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</row>
    <row r="67" spans="2:67" outlineLevel="1" x14ac:dyDescent="0.2">
      <c r="W67" s="31"/>
      <c r="X67" s="32"/>
      <c r="Y67" s="34"/>
      <c r="Z67" s="32"/>
      <c r="AA67" s="17"/>
      <c r="AB67" s="17"/>
      <c r="AC67" s="17"/>
      <c r="AD67" s="17"/>
      <c r="AE67" s="17"/>
      <c r="AF67" s="17"/>
      <c r="AG67" s="17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</row>
    <row r="68" spans="2:67" outlineLevel="1" x14ac:dyDescent="0.2">
      <c r="W68" s="35"/>
      <c r="X68" s="32"/>
      <c r="Y68" s="17"/>
      <c r="Z68" s="32"/>
      <c r="AA68" s="17"/>
      <c r="AB68" s="17"/>
      <c r="AC68" s="17"/>
      <c r="AD68" s="17"/>
      <c r="AE68" s="17"/>
      <c r="AF68" s="17"/>
      <c r="AG68" s="17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</row>
    <row r="69" spans="2:67" outlineLevel="1" x14ac:dyDescent="0.2">
      <c r="W69" s="35"/>
      <c r="X69" s="32"/>
      <c r="Y69" s="17"/>
      <c r="Z69" s="32"/>
      <c r="AA69" s="17"/>
      <c r="AB69" s="17"/>
      <c r="AC69" s="17"/>
      <c r="AD69" s="17"/>
      <c r="AE69" s="17"/>
      <c r="AF69" s="17"/>
      <c r="AG69" s="17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</row>
    <row r="70" spans="2:67" outlineLevel="1" x14ac:dyDescent="0.2">
      <c r="W70" s="35"/>
      <c r="X70" s="32"/>
      <c r="Y70" s="17"/>
      <c r="Z70" s="32"/>
      <c r="AA70" s="17"/>
      <c r="AB70" s="17"/>
      <c r="AC70" s="17"/>
      <c r="AD70" s="17"/>
      <c r="AE70" s="17"/>
      <c r="AF70" s="17"/>
      <c r="AG70" s="17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</row>
    <row r="71" spans="2:67" outlineLevel="1" x14ac:dyDescent="0.2">
      <c r="W71" s="35"/>
      <c r="X71" s="32"/>
      <c r="Y71" s="17"/>
      <c r="Z71" s="32"/>
      <c r="AA71" s="17"/>
      <c r="AB71" s="17"/>
      <c r="AC71" s="17"/>
      <c r="AD71" s="17"/>
      <c r="AE71" s="17"/>
      <c r="AF71" s="17"/>
      <c r="AG71" s="17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</row>
    <row r="72" spans="2:67" outlineLevel="1" x14ac:dyDescent="0.2">
      <c r="W72" s="35"/>
      <c r="X72" s="32"/>
      <c r="Y72" s="17"/>
      <c r="Z72" s="32"/>
      <c r="AA72" s="17"/>
      <c r="AB72" s="17"/>
      <c r="AC72" s="17"/>
      <c r="AD72" s="17"/>
      <c r="AE72" s="17"/>
      <c r="AF72" s="17"/>
      <c r="AG72" s="17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</row>
    <row r="73" spans="2:67" outlineLevel="1" x14ac:dyDescent="0.2">
      <c r="W73" s="35"/>
      <c r="X73" s="32"/>
      <c r="Y73" s="17"/>
      <c r="Z73" s="32"/>
      <c r="AA73" s="17"/>
      <c r="AB73" s="17"/>
      <c r="AC73" s="17"/>
      <c r="AD73" s="17"/>
      <c r="AE73" s="17"/>
      <c r="AF73" s="17"/>
      <c r="AG73" s="17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</row>
    <row r="74" spans="2:67" outlineLevel="1" x14ac:dyDescent="0.2">
      <c r="C74" s="40" t="s">
        <v>34</v>
      </c>
      <c r="W74" s="35"/>
      <c r="X74" s="32"/>
      <c r="Y74" s="17"/>
      <c r="Z74" s="32"/>
      <c r="AA74" s="17"/>
      <c r="AB74" s="17"/>
      <c r="AC74" s="17"/>
      <c r="AD74" s="17"/>
      <c r="AE74" s="17"/>
      <c r="AF74" s="17"/>
      <c r="AG74" s="17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</row>
    <row r="75" spans="2:67" outlineLevel="1" x14ac:dyDescent="0.2">
      <c r="B75" s="41" t="s">
        <v>35</v>
      </c>
      <c r="C75" s="18"/>
      <c r="D75" s="350" t="s">
        <v>24</v>
      </c>
      <c r="E75" s="350"/>
      <c r="F75" s="350"/>
      <c r="W75" s="35"/>
      <c r="X75" s="32"/>
      <c r="Y75" s="17"/>
      <c r="Z75" s="32"/>
      <c r="AA75" s="17"/>
      <c r="AB75" s="17"/>
      <c r="AC75" s="17"/>
      <c r="AD75" s="17"/>
      <c r="AE75" s="17"/>
      <c r="AF75" s="17"/>
      <c r="AG75" s="17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</row>
    <row r="76" spans="2:67" outlineLevel="1" x14ac:dyDescent="0.2">
      <c r="B76" s="23"/>
      <c r="C76" s="42">
        <v>63737.489271031714</v>
      </c>
      <c r="D76" s="14">
        <v>0.1</v>
      </c>
      <c r="E76" s="14">
        <v>0.12</v>
      </c>
      <c r="F76" s="14">
        <v>0.14000000000000001</v>
      </c>
      <c r="W76" s="35"/>
      <c r="X76" s="32"/>
      <c r="Y76" s="17"/>
      <c r="Z76" s="32"/>
      <c r="AA76" s="17"/>
      <c r="AB76" s="17"/>
      <c r="AC76" s="17"/>
      <c r="AD76" s="17"/>
      <c r="AE76" s="17"/>
      <c r="AF76" s="17"/>
      <c r="AG76" s="17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</row>
    <row r="77" spans="2:67" outlineLevel="1" x14ac:dyDescent="0.2">
      <c r="B77" s="351" t="s">
        <v>23</v>
      </c>
      <c r="C77" s="14">
        <v>0.01</v>
      </c>
      <c r="D77" s="13">
        <v>79128.210517848303</v>
      </c>
      <c r="E77" s="13">
        <v>65657.245489328066</v>
      </c>
      <c r="F77" s="13">
        <v>55396.873945759195</v>
      </c>
      <c r="W77" s="35"/>
      <c r="X77" s="32"/>
      <c r="Y77" s="17"/>
      <c r="Z77" s="32"/>
      <c r="AA77" s="17"/>
      <c r="AB77" s="17"/>
      <c r="AC77" s="17"/>
      <c r="AD77" s="17"/>
      <c r="AE77" s="17"/>
      <c r="AF77" s="17"/>
      <c r="AG77" s="17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</row>
    <row r="78" spans="2:67" outlineLevel="1" x14ac:dyDescent="0.2">
      <c r="B78" s="351"/>
      <c r="C78" s="14">
        <v>0.02</v>
      </c>
      <c r="D78" s="13">
        <v>84388.113969928556</v>
      </c>
      <c r="E78" s="13">
        <v>69365.753766430353</v>
      </c>
      <c r="F78" s="13">
        <v>58104.670456075437</v>
      </c>
      <c r="W78" s="35"/>
      <c r="X78" s="32"/>
      <c r="Y78" s="17"/>
      <c r="Z78" s="32"/>
      <c r="AA78" s="17"/>
      <c r="AB78" s="17"/>
      <c r="AC78" s="17"/>
      <c r="AD78" s="17"/>
      <c r="AE78" s="17"/>
      <c r="AF78" s="17"/>
      <c r="AG78" s="17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</row>
    <row r="79" spans="2:67" outlineLevel="1" x14ac:dyDescent="0.2">
      <c r="B79" s="351"/>
      <c r="C79" s="14">
        <v>0.03</v>
      </c>
      <c r="D79" s="13">
        <v>90524.667997355529</v>
      </c>
      <c r="E79" s="13">
        <v>73604.048940261564</v>
      </c>
      <c r="F79" s="13">
        <v>61150.941530181211</v>
      </c>
      <c r="W79" s="35"/>
      <c r="X79" s="32"/>
      <c r="Y79" s="17"/>
      <c r="Z79" s="32"/>
      <c r="AA79" s="17"/>
      <c r="AB79" s="17"/>
      <c r="AC79" s="17"/>
      <c r="AD79" s="17"/>
      <c r="AE79" s="17"/>
      <c r="AF79" s="17"/>
      <c r="AG79" s="17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</row>
    <row r="80" spans="2:67" outlineLevel="1" x14ac:dyDescent="0.2">
      <c r="W80" s="35"/>
      <c r="X80" s="32"/>
      <c r="Y80" s="17"/>
      <c r="Z80" s="32"/>
      <c r="AA80" s="17"/>
      <c r="AB80" s="17"/>
      <c r="AC80" s="17"/>
      <c r="AD80" s="17"/>
      <c r="AE80" s="17"/>
      <c r="AF80" s="17"/>
      <c r="AG80" s="17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</row>
    <row r="81" spans="23:67" ht="21" outlineLevel="1" x14ac:dyDescent="0.25">
      <c r="W81" s="17"/>
      <c r="X81" s="39"/>
      <c r="Y81" s="22"/>
      <c r="Z81" s="17"/>
      <c r="AA81" s="17"/>
      <c r="AB81" s="17"/>
      <c r="AC81" s="17"/>
      <c r="AD81" s="17"/>
      <c r="AE81" s="17"/>
      <c r="AF81" s="17"/>
      <c r="AG81" s="17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</row>
    <row r="82" spans="23:67" ht="21" outlineLevel="1" x14ac:dyDescent="0.25">
      <c r="W82" s="17"/>
      <c r="X82" s="39"/>
      <c r="Y82" s="22"/>
      <c r="Z82" s="17"/>
      <c r="AA82" s="17"/>
      <c r="AB82" s="17"/>
      <c r="AC82" s="17"/>
      <c r="AD82" s="17"/>
      <c r="AE82" s="17"/>
      <c r="AF82" s="17"/>
      <c r="AG82" s="17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</row>
    <row r="83" spans="23:67" ht="21" outlineLevel="1" x14ac:dyDescent="0.25">
      <c r="W83" s="17"/>
      <c r="X83" s="39"/>
      <c r="Y83" s="22"/>
      <c r="Z83" s="17"/>
      <c r="AA83" s="17"/>
      <c r="AB83" s="17"/>
      <c r="AC83" s="17"/>
      <c r="AD83" s="17"/>
      <c r="AE83" s="17"/>
      <c r="AF83" s="17"/>
      <c r="AG83" s="17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</row>
    <row r="84" spans="23:67" ht="16.5" customHeight="1" outlineLevel="1" x14ac:dyDescent="0.2">
      <c r="W84" s="43"/>
      <c r="X84" s="43"/>
      <c r="Y84" s="28"/>
      <c r="Z84" s="43"/>
      <c r="AA84" s="43"/>
      <c r="AB84" s="43"/>
      <c r="AC84" s="43"/>
      <c r="AD84" s="43"/>
      <c r="AE84" s="43"/>
      <c r="AF84" s="43"/>
      <c r="AG84" s="43"/>
    </row>
    <row r="85" spans="23:67" x14ac:dyDescent="0.2">
      <c r="W85" s="33"/>
      <c r="X85" s="33"/>
      <c r="Y85" s="26"/>
      <c r="Z85" s="33"/>
      <c r="AA85" s="33"/>
      <c r="AB85" s="33"/>
      <c r="AC85" s="33"/>
      <c r="AD85" s="33"/>
      <c r="AE85" s="33"/>
      <c r="AF85" s="33"/>
      <c r="AG85" s="33"/>
    </row>
    <row r="86" spans="23:67" x14ac:dyDescent="0.2">
      <c r="W86" s="12"/>
      <c r="X86" s="12"/>
      <c r="Y86" s="27"/>
      <c r="Z86" s="33"/>
      <c r="AA86" s="33"/>
      <c r="AB86" s="12"/>
      <c r="AC86" s="12"/>
      <c r="AD86" s="12"/>
      <c r="AE86" s="12"/>
      <c r="AF86" s="12"/>
      <c r="AG86" s="12"/>
    </row>
    <row r="87" spans="23:67" x14ac:dyDescent="0.2">
      <c r="W87" s="12"/>
      <c r="X87" s="12"/>
      <c r="Y87" s="27"/>
      <c r="Z87" s="44"/>
      <c r="AA87" s="44"/>
      <c r="AB87" s="12"/>
      <c r="AC87" s="12"/>
      <c r="AD87" s="12"/>
      <c r="AE87" s="12"/>
      <c r="AF87" s="12"/>
      <c r="AG87" s="12"/>
    </row>
    <row r="88" spans="23:67" x14ac:dyDescent="0.2">
      <c r="W88" s="12"/>
      <c r="X88" s="12"/>
      <c r="Y88" s="27"/>
      <c r="Z88" s="12"/>
      <c r="AA88" s="12"/>
      <c r="AB88" s="12"/>
      <c r="AC88" s="12"/>
      <c r="AD88" s="12"/>
      <c r="AE88" s="12"/>
      <c r="AF88" s="12"/>
      <c r="AG88" s="12"/>
    </row>
    <row r="89" spans="23:67" x14ac:dyDescent="0.2"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</row>
    <row r="90" spans="23:67" x14ac:dyDescent="0.2">
      <c r="W90" s="12"/>
      <c r="X90" s="12"/>
      <c r="Y90" s="33"/>
      <c r="Z90" s="12"/>
      <c r="AA90" s="26"/>
      <c r="AB90" s="33"/>
      <c r="AC90" s="12"/>
      <c r="AD90" s="12"/>
      <c r="AE90" s="12"/>
      <c r="AF90" s="12"/>
      <c r="AG90" s="12"/>
    </row>
    <row r="91" spans="23:67" x14ac:dyDescent="0.2">
      <c r="W91" s="12"/>
      <c r="X91" s="12"/>
      <c r="Y91" s="12"/>
      <c r="Z91" s="12"/>
      <c r="AA91" s="27"/>
      <c r="AB91" s="12"/>
      <c r="AC91" s="12"/>
      <c r="AD91" s="12"/>
      <c r="AE91" s="12"/>
      <c r="AF91" s="12"/>
      <c r="AG91" s="12"/>
    </row>
    <row r="92" spans="23:67" x14ac:dyDescent="0.2">
      <c r="W92" s="12"/>
      <c r="X92" s="12"/>
      <c r="Y92" s="12"/>
      <c r="Z92" s="12"/>
      <c r="AA92" s="27"/>
      <c r="AB92" s="12"/>
      <c r="AC92" s="12"/>
      <c r="AD92" s="12"/>
      <c r="AE92" s="12"/>
      <c r="AF92" s="12"/>
      <c r="AG92" s="12"/>
    </row>
    <row r="93" spans="23:67" x14ac:dyDescent="0.2">
      <c r="W93" s="12"/>
      <c r="X93" s="12"/>
      <c r="Y93" s="12"/>
      <c r="Z93" s="12"/>
      <c r="AA93" s="27"/>
      <c r="AB93" s="12"/>
      <c r="AC93" s="12"/>
      <c r="AD93" s="12"/>
      <c r="AE93" s="12"/>
      <c r="AF93" s="12"/>
      <c r="AG93" s="12"/>
    </row>
  </sheetData>
  <mergeCells count="3">
    <mergeCell ref="D75:F75"/>
    <mergeCell ref="B77:B79"/>
    <mergeCell ref="G19:H19"/>
  </mergeCells>
  <phoneticPr fontId="4" type="noConversion"/>
  <conditionalFormatting sqref="C76:F7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2:J65">
    <cfRule type="colorScale" priority="20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4294967293" r:id="rId1"/>
  <ignoredErrors>
    <ignoredError sqref="E2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ist Box 1">
              <controlPr defaultSize="0" autoLine="0" autoPict="0">
                <anchor moveWithCells="1">
                  <from>
                    <xdr:col>3</xdr:col>
                    <xdr:colOff>50800</xdr:colOff>
                    <xdr:row>0</xdr:row>
                    <xdr:rowOff>152400</xdr:rowOff>
                  </from>
                  <to>
                    <xdr:col>4</xdr:col>
                    <xdr:colOff>508000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List Box 3">
              <controlPr defaultSize="0" autoLine="0" autoPict="0">
                <anchor moveWithCells="1">
                  <from>
                    <xdr:col>5</xdr:col>
                    <xdr:colOff>76200</xdr:colOff>
                    <xdr:row>0</xdr:row>
                    <xdr:rowOff>177800</xdr:rowOff>
                  </from>
                  <to>
                    <xdr:col>6</xdr:col>
                    <xdr:colOff>850900</xdr:colOff>
                    <xdr:row>0</xdr:row>
                    <xdr:rowOff>863600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6" name="List Box 5">
              <controlPr defaultSize="0" autoLine="0" autoPict="0">
                <anchor moveWithCells="1">
                  <from>
                    <xdr:col>7</xdr:col>
                    <xdr:colOff>76200</xdr:colOff>
                    <xdr:row>0</xdr:row>
                    <xdr:rowOff>177800</xdr:rowOff>
                  </from>
                  <to>
                    <xdr:col>8</xdr:col>
                    <xdr:colOff>914400</xdr:colOff>
                    <xdr:row>0</xdr:row>
                    <xdr:rowOff>876300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4" tint="0.59999389629810485"/>
  </sheetPr>
  <dimension ref="A1:Q23"/>
  <sheetViews>
    <sheetView showGridLines="0" zoomScale="90" zoomScaleNormal="90" workbookViewId="0">
      <pane xSplit="3" ySplit="1" topLeftCell="D2" activePane="bottomRight" state="frozenSplit"/>
      <selection pane="topRight" activeCell="B17" sqref="B17"/>
      <selection pane="bottomLeft" activeCell="B17" sqref="B17"/>
      <selection pane="bottomRight"/>
    </sheetView>
  </sheetViews>
  <sheetFormatPr baseColWidth="10" defaultColWidth="11.1640625" defaultRowHeight="16" x14ac:dyDescent="0.2"/>
  <cols>
    <col min="1" max="1" width="2.83203125" customWidth="1"/>
    <col min="2" max="2" width="40.83203125" customWidth="1"/>
    <col min="3" max="3" width="15.6640625" customWidth="1"/>
    <col min="4" max="8" width="10.83203125" style="9" customWidth="1"/>
    <col min="9" max="10" width="10.83203125" customWidth="1"/>
  </cols>
  <sheetData>
    <row r="1" spans="1:17" s="57" customFormat="1" ht="37" customHeight="1" x14ac:dyDescent="0.2">
      <c r="A1" s="56"/>
      <c r="C1" s="99"/>
      <c r="D1" s="58">
        <f>D5</f>
        <v>2025</v>
      </c>
      <c r="E1" s="58">
        <f t="shared" ref="E1:I1" si="0">E5</f>
        <v>2026</v>
      </c>
      <c r="F1" s="58">
        <f t="shared" si="0"/>
        <v>2027</v>
      </c>
      <c r="G1" s="58">
        <f t="shared" si="0"/>
        <v>2028</v>
      </c>
      <c r="H1" s="58">
        <f t="shared" si="0"/>
        <v>2029</v>
      </c>
      <c r="I1" s="58">
        <f t="shared" si="0"/>
        <v>2030</v>
      </c>
    </row>
    <row r="2" spans="1:17" ht="20" customHeight="1" x14ac:dyDescent="0.2">
      <c r="A2" s="5"/>
    </row>
    <row r="3" spans="1:17" ht="20" customHeight="1" x14ac:dyDescent="0.2"/>
    <row r="4" spans="1:17" ht="20" customHeight="1" x14ac:dyDescent="0.2"/>
    <row r="5" spans="1:17" s="2" customFormat="1" ht="20" customHeight="1" x14ac:dyDescent="0.2">
      <c r="B5" s="206"/>
      <c r="C5" s="169" t="s">
        <v>36</v>
      </c>
      <c r="D5" s="169">
        <v>2025</v>
      </c>
      <c r="E5" s="169">
        <v>2026</v>
      </c>
      <c r="F5" s="169">
        <v>2027</v>
      </c>
      <c r="G5" s="169">
        <v>2028</v>
      </c>
      <c r="H5" s="169">
        <v>2029</v>
      </c>
      <c r="I5" s="169">
        <v>2030</v>
      </c>
      <c r="L5"/>
      <c r="M5"/>
      <c r="N5"/>
      <c r="O5"/>
      <c r="P5"/>
      <c r="Q5"/>
    </row>
    <row r="6" spans="1:17" ht="20" customHeight="1" x14ac:dyDescent="0.2">
      <c r="B6" t="s">
        <v>37</v>
      </c>
      <c r="C6" s="45" t="s">
        <v>38</v>
      </c>
      <c r="D6" s="186">
        <v>550</v>
      </c>
      <c r="E6" s="186">
        <v>925</v>
      </c>
      <c r="F6" s="186">
        <v>1350</v>
      </c>
      <c r="G6" s="186">
        <v>2000</v>
      </c>
      <c r="H6" s="186">
        <v>2200</v>
      </c>
      <c r="I6" s="328">
        <v>2200</v>
      </c>
    </row>
    <row r="7" spans="1:17" x14ac:dyDescent="0.2">
      <c r="B7" t="s">
        <v>39</v>
      </c>
      <c r="C7" s="45" t="s">
        <v>40</v>
      </c>
      <c r="D7" s="186">
        <v>7000</v>
      </c>
      <c r="E7" s="186">
        <f>D7*(1+E8)</f>
        <v>7210</v>
      </c>
      <c r="F7" s="186">
        <f t="shared" ref="F7:I7" si="1">E7*(1+F8)</f>
        <v>7426.3</v>
      </c>
      <c r="G7" s="186">
        <f t="shared" si="1"/>
        <v>7649.0889999999999</v>
      </c>
      <c r="H7" s="186">
        <f t="shared" si="1"/>
        <v>7878.56167</v>
      </c>
      <c r="I7" s="186">
        <f t="shared" si="1"/>
        <v>8114.9185201</v>
      </c>
    </row>
    <row r="8" spans="1:17" x14ac:dyDescent="0.2">
      <c r="B8" t="s">
        <v>41</v>
      </c>
      <c r="C8" s="45" t="s">
        <v>42</v>
      </c>
      <c r="D8" s="187"/>
      <c r="E8" s="187">
        <v>0.03</v>
      </c>
      <c r="F8" s="187">
        <v>0.03</v>
      </c>
      <c r="G8" s="187">
        <v>0.03</v>
      </c>
      <c r="H8" s="187">
        <v>0.03</v>
      </c>
      <c r="I8" s="187">
        <v>0.03</v>
      </c>
    </row>
    <row r="9" spans="1:17" ht="17" thickBot="1" x14ac:dyDescent="0.25">
      <c r="B9" s="248" t="s">
        <v>43</v>
      </c>
      <c r="C9" s="233" t="s">
        <v>44</v>
      </c>
      <c r="D9" s="208">
        <f>PRODUCT(D6,D7)/1000</f>
        <v>3850</v>
      </c>
      <c r="E9" s="208">
        <f t="shared" ref="E9:I9" si="2">PRODUCT(E6,E7)/1000</f>
        <v>6669.25</v>
      </c>
      <c r="F9" s="208">
        <f t="shared" si="2"/>
        <v>10025.504999999999</v>
      </c>
      <c r="G9" s="208">
        <f t="shared" si="2"/>
        <v>15298.178</v>
      </c>
      <c r="H9" s="208">
        <f t="shared" si="2"/>
        <v>17332.835673999998</v>
      </c>
      <c r="I9" s="208">
        <f t="shared" si="2"/>
        <v>17852.82074422</v>
      </c>
      <c r="L9" s="83"/>
      <c r="M9" s="83"/>
      <c r="N9" s="83"/>
      <c r="O9" s="83"/>
      <c r="P9" s="83"/>
      <c r="Q9" s="83"/>
    </row>
    <row r="10" spans="1:17" ht="20" customHeight="1" x14ac:dyDescent="0.2">
      <c r="B10" t="s">
        <v>45</v>
      </c>
      <c r="C10" s="45" t="s">
        <v>38</v>
      </c>
      <c r="D10" s="82">
        <v>450</v>
      </c>
      <c r="E10" s="82">
        <v>600</v>
      </c>
      <c r="F10" s="82">
        <v>800</v>
      </c>
      <c r="G10" s="82">
        <v>1150</v>
      </c>
      <c r="H10" s="82">
        <v>1300</v>
      </c>
      <c r="I10" s="329">
        <v>1300</v>
      </c>
      <c r="L10" s="83"/>
      <c r="M10" s="83"/>
      <c r="N10" s="83"/>
      <c r="O10" s="83"/>
      <c r="P10" s="83"/>
      <c r="Q10" s="83"/>
    </row>
    <row r="11" spans="1:17" x14ac:dyDescent="0.2">
      <c r="B11" t="str">
        <f>B7</f>
        <v>Hourly price</v>
      </c>
      <c r="C11" s="45" t="s">
        <v>40</v>
      </c>
      <c r="D11" s="171">
        <v>9500</v>
      </c>
      <c r="E11" s="186">
        <f>D11*(1+E12)</f>
        <v>9975</v>
      </c>
      <c r="F11" s="186">
        <f t="shared" ref="F11" si="3">E11*(1+F12)</f>
        <v>10473.75</v>
      </c>
      <c r="G11" s="186">
        <f t="shared" ref="G11" si="4">F11*(1+G12)</f>
        <v>10997.4375</v>
      </c>
      <c r="H11" s="186">
        <f t="shared" ref="H11" si="5">G11*(1+H12)</f>
        <v>11547.309375000001</v>
      </c>
      <c r="I11" s="186">
        <f t="shared" ref="I11" si="6">H11*(1+I12)</f>
        <v>12124.674843750001</v>
      </c>
      <c r="L11" s="83"/>
      <c r="M11" s="83"/>
      <c r="N11" s="83"/>
      <c r="O11" s="83"/>
      <c r="P11" s="83"/>
      <c r="Q11" s="83"/>
    </row>
    <row r="12" spans="1:17" x14ac:dyDescent="0.2">
      <c r="B12" t="str">
        <f>B8</f>
        <v>Price per hour increase</v>
      </c>
      <c r="C12" s="45" t="s">
        <v>42</v>
      </c>
      <c r="D12" s="187"/>
      <c r="E12" s="187">
        <v>0.05</v>
      </c>
      <c r="F12" s="187">
        <v>0.05</v>
      </c>
      <c r="G12" s="187">
        <v>0.05</v>
      </c>
      <c r="H12" s="187">
        <v>0.05</v>
      </c>
      <c r="I12" s="187">
        <v>0.05</v>
      </c>
    </row>
    <row r="13" spans="1:17" ht="17" thickBot="1" x14ac:dyDescent="0.25">
      <c r="B13" s="248" t="s">
        <v>46</v>
      </c>
      <c r="C13" s="233" t="s">
        <v>44</v>
      </c>
      <c r="D13" s="208">
        <f>PRODUCT(D10,D11)/1000</f>
        <v>4275</v>
      </c>
      <c r="E13" s="208">
        <f t="shared" ref="E13:I13" si="7">PRODUCT(E10,E11)/1000</f>
        <v>5985</v>
      </c>
      <c r="F13" s="208">
        <f t="shared" si="7"/>
        <v>8379</v>
      </c>
      <c r="G13" s="208">
        <f t="shared" si="7"/>
        <v>12647.053125</v>
      </c>
      <c r="H13" s="208">
        <f t="shared" si="7"/>
        <v>15011.502187500002</v>
      </c>
      <c r="I13" s="208">
        <f t="shared" si="7"/>
        <v>15762.077296875003</v>
      </c>
    </row>
    <row r="14" spans="1:17" x14ac:dyDescent="0.2">
      <c r="D14"/>
    </row>
    <row r="15" spans="1:17" s="2" customFormat="1" ht="20" customHeight="1" x14ac:dyDescent="0.2">
      <c r="B15" s="215" t="s">
        <v>47</v>
      </c>
      <c r="C15" s="169" t="s">
        <v>36</v>
      </c>
      <c r="D15" s="169"/>
      <c r="E15" s="169"/>
      <c r="F15" s="169"/>
      <c r="G15" s="169"/>
      <c r="H15" s="169"/>
      <c r="I15" s="169"/>
    </row>
    <row r="16" spans="1:17" ht="20" customHeight="1" x14ac:dyDescent="0.2">
      <c r="B16" s="2" t="s">
        <v>48</v>
      </c>
      <c r="C16" s="47" t="s">
        <v>49</v>
      </c>
      <c r="D16" s="168">
        <f>D6+D10</f>
        <v>1000</v>
      </c>
      <c r="E16" s="168">
        <f t="shared" ref="E16:I16" si="8">E6+E10</f>
        <v>1525</v>
      </c>
      <c r="F16" s="168">
        <f t="shared" si="8"/>
        <v>2150</v>
      </c>
      <c r="G16" s="168">
        <f t="shared" si="8"/>
        <v>3150</v>
      </c>
      <c r="H16" s="168">
        <f t="shared" si="8"/>
        <v>3500</v>
      </c>
      <c r="I16" s="168">
        <f t="shared" si="8"/>
        <v>3500</v>
      </c>
    </row>
    <row r="17" spans="2:9" s="51" customFormat="1" ht="20" customHeight="1" x14ac:dyDescent="0.2">
      <c r="B17" s="162" t="s">
        <v>50</v>
      </c>
      <c r="C17" s="223" t="s">
        <v>44</v>
      </c>
      <c r="D17" s="122">
        <f>D9+D13</f>
        <v>8125</v>
      </c>
      <c r="E17" s="122">
        <f t="shared" ref="E17:I17" si="9">E9+E13</f>
        <v>12654.25</v>
      </c>
      <c r="F17" s="122">
        <f t="shared" si="9"/>
        <v>18404.504999999997</v>
      </c>
      <c r="G17" s="122">
        <f t="shared" si="9"/>
        <v>27945.231124999998</v>
      </c>
      <c r="H17" s="122">
        <f t="shared" si="9"/>
        <v>32344.3378615</v>
      </c>
      <c r="I17" s="122">
        <f t="shared" si="9"/>
        <v>33614.898041095003</v>
      </c>
    </row>
    <row r="18" spans="2:9" x14ac:dyDescent="0.2">
      <c r="B18" s="5" t="s">
        <v>51</v>
      </c>
      <c r="C18" s="45" t="s">
        <v>42</v>
      </c>
      <c r="D18" s="187">
        <f>D9/D17</f>
        <v>0.47384615384615386</v>
      </c>
      <c r="E18" s="187">
        <f t="shared" ref="E18:I18" si="10">E9/E17</f>
        <v>0.52703637117964319</v>
      </c>
      <c r="F18" s="187">
        <f t="shared" si="10"/>
        <v>0.54473103188594318</v>
      </c>
      <c r="G18" s="187">
        <f t="shared" si="10"/>
        <v>0.5474342985953744</v>
      </c>
      <c r="H18" s="187">
        <f t="shared" si="10"/>
        <v>0.53588469636385905</v>
      </c>
      <c r="I18" s="187">
        <f t="shared" si="10"/>
        <v>0.5310984648055308</v>
      </c>
    </row>
    <row r="19" spans="2:9" ht="17" thickBot="1" x14ac:dyDescent="0.25">
      <c r="B19" s="197" t="s">
        <v>52</v>
      </c>
      <c r="C19" s="225" t="s">
        <v>42</v>
      </c>
      <c r="D19" s="198">
        <f>1-D18</f>
        <v>0.52615384615384619</v>
      </c>
      <c r="E19" s="198">
        <f t="shared" ref="E19:I19" si="11">1-E18</f>
        <v>0.47296362882035681</v>
      </c>
      <c r="F19" s="198">
        <f t="shared" si="11"/>
        <v>0.45526896811405682</v>
      </c>
      <c r="G19" s="198">
        <f t="shared" si="11"/>
        <v>0.4525657014046256</v>
      </c>
      <c r="H19" s="198">
        <f t="shared" si="11"/>
        <v>0.46411530363614095</v>
      </c>
      <c r="I19" s="198">
        <f t="shared" si="11"/>
        <v>0.4689015351944692</v>
      </c>
    </row>
    <row r="20" spans="2:9" s="2" customFormat="1" ht="20" customHeight="1" x14ac:dyDescent="0.2">
      <c r="B20" s="2" t="s">
        <v>53</v>
      </c>
      <c r="C20" s="47" t="s">
        <v>54</v>
      </c>
      <c r="D20" s="122">
        <f>D17/D16*1000</f>
        <v>8125</v>
      </c>
      <c r="E20" s="122">
        <f t="shared" ref="E20:I20" si="12">E17/E16*1000</f>
        <v>8297.8688524590161</v>
      </c>
      <c r="F20" s="122">
        <f t="shared" si="12"/>
        <v>8560.2348837209283</v>
      </c>
      <c r="G20" s="122">
        <f t="shared" si="12"/>
        <v>8871.5019444444442</v>
      </c>
      <c r="H20" s="122">
        <f t="shared" si="12"/>
        <v>9241.2393890000003</v>
      </c>
      <c r="I20" s="122">
        <f t="shared" si="12"/>
        <v>9604.2565831700012</v>
      </c>
    </row>
    <row r="21" spans="2:9" ht="20" customHeight="1" thickBot="1" x14ac:dyDescent="0.25">
      <c r="B21" s="199" t="s">
        <v>55</v>
      </c>
      <c r="C21" s="225" t="s">
        <v>42</v>
      </c>
      <c r="D21" s="226"/>
      <c r="E21" s="227">
        <f>E20/D20-1</f>
        <v>2.1276166456494217E-2</v>
      </c>
      <c r="F21" s="227">
        <f t="shared" ref="F21:I21" si="13">F20/E20-1</f>
        <v>3.1618483724789481E-2</v>
      </c>
      <c r="G21" s="227">
        <f t="shared" si="13"/>
        <v>3.6361976622330205E-2</v>
      </c>
      <c r="H21" s="227">
        <f t="shared" si="13"/>
        <v>4.1676983995601269E-2</v>
      </c>
      <c r="I21" s="227">
        <f t="shared" si="13"/>
        <v>3.9282306072722983E-2</v>
      </c>
    </row>
    <row r="23" spans="2:9" x14ac:dyDescent="0.2">
      <c r="B23" t="str">
        <f>B20</f>
        <v>Weighted average price per FH</v>
      </c>
      <c r="D23" s="122">
        <f>D20</f>
        <v>8125</v>
      </c>
      <c r="E23" s="122">
        <f t="shared" ref="E23:I23" si="14">E20</f>
        <v>8297.8688524590161</v>
      </c>
      <c r="F23" s="122">
        <f t="shared" si="14"/>
        <v>8560.2348837209283</v>
      </c>
      <c r="G23" s="122">
        <f t="shared" si="14"/>
        <v>8871.5019444444442</v>
      </c>
      <c r="H23" s="122">
        <f t="shared" si="14"/>
        <v>9241.2393890000003</v>
      </c>
      <c r="I23" s="122">
        <f t="shared" si="14"/>
        <v>9604.2565831700012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theme="4" tint="0.59999389629810485"/>
  </sheetPr>
  <dimension ref="A1:O32"/>
  <sheetViews>
    <sheetView showGridLines="0" zoomScale="80" zoomScaleNormal="130" workbookViewId="0">
      <pane xSplit="3" ySplit="1" topLeftCell="D2" activePane="bottomRight" state="frozenSplit"/>
      <selection pane="topRight" activeCell="B17" sqref="B17"/>
      <selection pane="bottomLeft" activeCell="B17" sqref="B17"/>
      <selection pane="bottomRight" activeCell="D9" sqref="D9"/>
    </sheetView>
  </sheetViews>
  <sheetFormatPr baseColWidth="10" defaultColWidth="11.1640625" defaultRowHeight="16" x14ac:dyDescent="0.2"/>
  <cols>
    <col min="1" max="1" width="2.83203125" customWidth="1"/>
    <col min="2" max="2" width="36.5" customWidth="1"/>
    <col min="3" max="3" width="18.6640625" style="8" customWidth="1"/>
    <col min="4" max="9" width="10.83203125" customWidth="1"/>
  </cols>
  <sheetData>
    <row r="1" spans="1:15" s="36" customFormat="1" ht="43" customHeight="1" x14ac:dyDescent="0.2">
      <c r="C1" s="161"/>
      <c r="D1" s="308">
        <f>D8</f>
        <v>2025</v>
      </c>
      <c r="E1" s="308">
        <f t="shared" ref="E1:I1" si="0">E8</f>
        <v>2026</v>
      </c>
      <c r="F1" s="308">
        <f t="shared" si="0"/>
        <v>2027</v>
      </c>
      <c r="G1" s="308">
        <f t="shared" si="0"/>
        <v>2028</v>
      </c>
      <c r="H1" s="308">
        <f t="shared" si="0"/>
        <v>2029</v>
      </c>
      <c r="I1" s="308">
        <f t="shared" si="0"/>
        <v>2030</v>
      </c>
    </row>
    <row r="2" spans="1:15" ht="35.5" customHeight="1" x14ac:dyDescent="0.2">
      <c r="C2" s="191"/>
    </row>
    <row r="4" spans="1:15" ht="17" thickBot="1" x14ac:dyDescent="0.25">
      <c r="A4" s="5"/>
      <c r="D4" s="161"/>
    </row>
    <row r="5" spans="1:15" x14ac:dyDescent="0.2">
      <c r="A5" s="5"/>
      <c r="B5" s="249" t="s">
        <v>56</v>
      </c>
      <c r="C5" s="250" t="s">
        <v>42</v>
      </c>
      <c r="D5" s="251">
        <f>Cockpit!F20</f>
        <v>0.15</v>
      </c>
    </row>
    <row r="6" spans="1:15" ht="17" thickBot="1" x14ac:dyDescent="0.25">
      <c r="B6" s="252" t="s">
        <v>57</v>
      </c>
      <c r="C6" s="253" t="s">
        <v>58</v>
      </c>
      <c r="D6" s="254">
        <f>Cockpit!H20</f>
        <v>0.7</v>
      </c>
      <c r="E6" s="5"/>
      <c r="F6" s="5" t="s">
        <v>59</v>
      </c>
      <c r="G6" s="5"/>
      <c r="H6" s="5"/>
    </row>
    <row r="7" spans="1:15" x14ac:dyDescent="0.2">
      <c r="A7" s="5"/>
      <c r="D7" s="161"/>
    </row>
    <row r="8" spans="1:15" ht="20" customHeight="1" x14ac:dyDescent="0.2">
      <c r="A8" s="5"/>
      <c r="B8" s="264" t="s">
        <v>60</v>
      </c>
      <c r="C8" s="188" t="s">
        <v>36</v>
      </c>
      <c r="D8" s="188">
        <f>Revenue!D5</f>
        <v>2025</v>
      </c>
      <c r="E8" s="188">
        <f>Revenue!E5</f>
        <v>2026</v>
      </c>
      <c r="F8" s="188">
        <f>Revenue!F5</f>
        <v>2027</v>
      </c>
      <c r="G8" s="188">
        <f>Revenue!G5</f>
        <v>2028</v>
      </c>
      <c r="H8" s="188">
        <f>Revenue!H5</f>
        <v>2029</v>
      </c>
      <c r="I8" s="188">
        <f>Revenue!I5</f>
        <v>2030</v>
      </c>
    </row>
    <row r="9" spans="1:15" x14ac:dyDescent="0.2">
      <c r="B9" s="5" t="s">
        <v>61</v>
      </c>
      <c r="C9" s="45" t="s">
        <v>62</v>
      </c>
      <c r="D9" s="257">
        <v>1200</v>
      </c>
      <c r="E9" s="71">
        <f>D9</f>
        <v>1200</v>
      </c>
      <c r="F9" s="71">
        <f t="shared" ref="F9:I9" si="1">E9</f>
        <v>1200</v>
      </c>
      <c r="G9" s="71">
        <f t="shared" si="1"/>
        <v>1200</v>
      </c>
      <c r="H9" s="71">
        <f t="shared" si="1"/>
        <v>1200</v>
      </c>
      <c r="I9" s="71">
        <f t="shared" si="1"/>
        <v>1200</v>
      </c>
    </row>
    <row r="10" spans="1:15" x14ac:dyDescent="0.2">
      <c r="B10" s="5" t="s">
        <v>61</v>
      </c>
      <c r="C10" s="45" t="s">
        <v>63</v>
      </c>
      <c r="D10" s="258">
        <f>D9/1000</f>
        <v>1.2</v>
      </c>
      <c r="E10" s="203">
        <f t="shared" ref="E10:I10" si="2">E9/1000</f>
        <v>1.2</v>
      </c>
      <c r="F10" s="203">
        <f t="shared" si="2"/>
        <v>1.2</v>
      </c>
      <c r="G10" s="203">
        <f t="shared" si="2"/>
        <v>1.2</v>
      </c>
      <c r="H10" s="203">
        <f t="shared" si="2"/>
        <v>1.2</v>
      </c>
      <c r="I10" s="203">
        <f t="shared" si="2"/>
        <v>1.2</v>
      </c>
    </row>
    <row r="11" spans="1:15" s="2" customFormat="1" x14ac:dyDescent="0.2">
      <c r="B11" s="200" t="s">
        <v>20</v>
      </c>
      <c r="C11" s="238" t="s">
        <v>64</v>
      </c>
      <c r="D11" s="257">
        <v>1100</v>
      </c>
      <c r="E11" s="71">
        <f>D11*(1+$D$5)</f>
        <v>1265</v>
      </c>
      <c r="F11" s="71">
        <f t="shared" ref="F11:I11" si="3">E11*(1+$D$5)</f>
        <v>1454.75</v>
      </c>
      <c r="G11" s="71">
        <f t="shared" si="3"/>
        <v>1672.9624999999999</v>
      </c>
      <c r="H11" s="71">
        <f t="shared" si="3"/>
        <v>1923.9068749999997</v>
      </c>
      <c r="I11" s="71">
        <f t="shared" si="3"/>
        <v>2212.4929062499996</v>
      </c>
    </row>
    <row r="12" spans="1:15" x14ac:dyDescent="0.2">
      <c r="B12" s="5" t="s">
        <v>65</v>
      </c>
      <c r="C12" s="45" t="s">
        <v>66</v>
      </c>
      <c r="D12" s="257">
        <f>D11*D10</f>
        <v>1320</v>
      </c>
      <c r="E12" s="202">
        <f t="shared" ref="E12:I12" si="4">E11*E10</f>
        <v>1518</v>
      </c>
      <c r="F12" s="202">
        <f t="shared" si="4"/>
        <v>1745.7</v>
      </c>
      <c r="G12" s="202">
        <f t="shared" si="4"/>
        <v>2007.5549999999998</v>
      </c>
      <c r="H12" s="202">
        <f t="shared" si="4"/>
        <v>2308.6882499999997</v>
      </c>
      <c r="I12" s="202">
        <f t="shared" si="4"/>
        <v>2654.9914874999995</v>
      </c>
    </row>
    <row r="13" spans="1:15" s="5" customFormat="1" ht="17" thickBot="1" x14ac:dyDescent="0.25">
      <c r="B13" s="201" t="s">
        <v>67</v>
      </c>
      <c r="C13" s="231" t="s">
        <v>68</v>
      </c>
      <c r="D13" s="193">
        <f>D12*$D$6</f>
        <v>923.99999999999989</v>
      </c>
      <c r="E13" s="193">
        <f t="shared" ref="E13:I13" si="5">E12*$D$6</f>
        <v>1062.5999999999999</v>
      </c>
      <c r="F13" s="193">
        <f t="shared" si="5"/>
        <v>1221.99</v>
      </c>
      <c r="G13" s="193">
        <f t="shared" si="5"/>
        <v>1405.2884999999999</v>
      </c>
      <c r="H13" s="193">
        <f t="shared" si="5"/>
        <v>1616.0817749999997</v>
      </c>
      <c r="I13" s="193">
        <f t="shared" si="5"/>
        <v>1858.4940412499996</v>
      </c>
      <c r="K13"/>
      <c r="L13"/>
      <c r="M13"/>
      <c r="N13"/>
    </row>
    <row r="14" spans="1:15" s="5" customFormat="1" x14ac:dyDescent="0.2">
      <c r="C14" s="18"/>
      <c r="D14" s="164"/>
      <c r="K14"/>
      <c r="L14"/>
      <c r="M14"/>
      <c r="N14"/>
      <c r="O14"/>
    </row>
    <row r="15" spans="1:15" s="5" customFormat="1" ht="20" customHeight="1" x14ac:dyDescent="0.2">
      <c r="B15" s="264" t="s">
        <v>69</v>
      </c>
      <c r="C15" s="188" t="s">
        <v>36</v>
      </c>
      <c r="D15" s="188"/>
      <c r="E15" s="188"/>
      <c r="F15" s="188"/>
      <c r="G15" s="188"/>
      <c r="H15" s="188"/>
      <c r="I15" s="188"/>
      <c r="K15"/>
      <c r="L15"/>
      <c r="M15"/>
      <c r="N15"/>
    </row>
    <row r="16" spans="1:15" s="99" customFormat="1" ht="36" customHeight="1" x14ac:dyDescent="0.2">
      <c r="B16" s="170" t="s">
        <v>70</v>
      </c>
      <c r="C16" s="175" t="s">
        <v>42</v>
      </c>
      <c r="D16" s="343">
        <f>D9*(1-45%)</f>
        <v>660</v>
      </c>
      <c r="E16" s="344">
        <f>D16</f>
        <v>660</v>
      </c>
      <c r="F16" s="344">
        <f t="shared" ref="F16:I16" si="6">E16</f>
        <v>660</v>
      </c>
      <c r="G16" s="344">
        <f t="shared" si="6"/>
        <v>660</v>
      </c>
      <c r="H16" s="344">
        <f t="shared" si="6"/>
        <v>660</v>
      </c>
      <c r="I16" s="344">
        <f t="shared" si="6"/>
        <v>660</v>
      </c>
      <c r="K16" s="57"/>
      <c r="L16" s="57"/>
      <c r="M16" s="57"/>
      <c r="N16" s="57"/>
      <c r="O16" s="57"/>
    </row>
    <row r="17" spans="1:15" x14ac:dyDescent="0.2">
      <c r="B17" s="5" t="s">
        <v>61</v>
      </c>
      <c r="C17" s="45" t="s">
        <v>63</v>
      </c>
      <c r="D17" s="258">
        <f>D16/1000</f>
        <v>0.66</v>
      </c>
      <c r="E17" s="203">
        <f t="shared" ref="E17:I17" si="7">E16/1000</f>
        <v>0.66</v>
      </c>
      <c r="F17" s="203">
        <f t="shared" si="7"/>
        <v>0.66</v>
      </c>
      <c r="G17" s="203">
        <f t="shared" si="7"/>
        <v>0.66</v>
      </c>
      <c r="H17" s="203">
        <f t="shared" si="7"/>
        <v>0.66</v>
      </c>
      <c r="I17" s="203">
        <f t="shared" si="7"/>
        <v>0.66</v>
      </c>
      <c r="O17" s="5"/>
    </row>
    <row r="18" spans="1:15" x14ac:dyDescent="0.2">
      <c r="B18" s="5" t="str">
        <f>B11</f>
        <v>Fuel cost</v>
      </c>
      <c r="C18" s="45" t="s">
        <v>71</v>
      </c>
      <c r="D18" s="85">
        <v>1100</v>
      </c>
      <c r="E18" s="202">
        <f>D18*(1+$D$5)</f>
        <v>1265</v>
      </c>
      <c r="F18" s="202">
        <f t="shared" ref="F18:I18" si="8">E18*(1+$D$5)</f>
        <v>1454.75</v>
      </c>
      <c r="G18" s="202">
        <f t="shared" si="8"/>
        <v>1672.9624999999999</v>
      </c>
      <c r="H18" s="202">
        <f t="shared" si="8"/>
        <v>1923.9068749999997</v>
      </c>
      <c r="I18" s="202">
        <f t="shared" si="8"/>
        <v>2212.4929062499996</v>
      </c>
    </row>
    <row r="19" spans="1:15" x14ac:dyDescent="0.2">
      <c r="B19" t="str">
        <f>B12</f>
        <v>Fuel cost per Flight Hour</v>
      </c>
      <c r="C19" s="45" t="str">
        <f>C12</f>
        <v>USD /FH</v>
      </c>
      <c r="D19" s="257">
        <f>D18*D17</f>
        <v>726</v>
      </c>
      <c r="E19" s="202">
        <f>E18*E17</f>
        <v>834.90000000000009</v>
      </c>
      <c r="F19" s="202">
        <f t="shared" ref="F19:I19" si="9">F18*F17</f>
        <v>960.13499999999999</v>
      </c>
      <c r="G19" s="202">
        <f t="shared" si="9"/>
        <v>1104.15525</v>
      </c>
      <c r="H19" s="202">
        <f t="shared" si="9"/>
        <v>1269.7785374999999</v>
      </c>
      <c r="I19" s="202">
        <f t="shared" si="9"/>
        <v>1460.2453181249998</v>
      </c>
      <c r="O19" s="5"/>
    </row>
    <row r="20" spans="1:15" ht="17" thickBot="1" x14ac:dyDescent="0.25">
      <c r="B20" s="213" t="str">
        <f>B13</f>
        <v>Fuel cost per FH</v>
      </c>
      <c r="C20" s="232" t="str">
        <f>C13</f>
        <v>EUR /FH</v>
      </c>
      <c r="D20" s="193">
        <f>D19*$D$6</f>
        <v>508.2</v>
      </c>
      <c r="E20" s="193">
        <f t="shared" ref="E20:I20" si="10">E19*$D$6</f>
        <v>584.43000000000006</v>
      </c>
      <c r="F20" s="193">
        <f t="shared" si="10"/>
        <v>672.09449999999993</v>
      </c>
      <c r="G20" s="193">
        <f t="shared" si="10"/>
        <v>772.90867500000002</v>
      </c>
      <c r="H20" s="193">
        <f t="shared" si="10"/>
        <v>888.84497624999983</v>
      </c>
      <c r="I20" s="193">
        <f t="shared" si="10"/>
        <v>1022.1717226874998</v>
      </c>
    </row>
    <row r="21" spans="1:15" s="57" customFormat="1" ht="37.5" customHeight="1" x14ac:dyDescent="0.2">
      <c r="B21" s="170" t="s">
        <v>72</v>
      </c>
      <c r="C21" s="175" t="s">
        <v>42</v>
      </c>
      <c r="D21" s="306">
        <v>0.5</v>
      </c>
      <c r="E21" s="306">
        <v>0.45</v>
      </c>
      <c r="F21" s="306">
        <v>0.4</v>
      </c>
      <c r="G21" s="306">
        <v>0.35</v>
      </c>
      <c r="H21" s="306">
        <v>0.35</v>
      </c>
      <c r="I21" s="306">
        <v>0.35</v>
      </c>
      <c r="O21" s="56"/>
    </row>
    <row r="22" spans="1:15" ht="17" thickBot="1" x14ac:dyDescent="0.25">
      <c r="B22" s="199" t="s">
        <v>73</v>
      </c>
      <c r="C22" s="225" t="s">
        <v>44</v>
      </c>
      <c r="D22" s="247">
        <f>D20*(1+D21)</f>
        <v>762.3</v>
      </c>
      <c r="E22" s="247">
        <f t="shared" ref="E22:I22" si="11">E20*(1+E21)</f>
        <v>847.4235000000001</v>
      </c>
      <c r="F22" s="247">
        <f t="shared" si="11"/>
        <v>940.93229999999983</v>
      </c>
      <c r="G22" s="247">
        <f t="shared" si="11"/>
        <v>1043.4267112500002</v>
      </c>
      <c r="H22" s="247">
        <f t="shared" si="11"/>
        <v>1199.9407179374998</v>
      </c>
      <c r="I22" s="247">
        <f t="shared" si="11"/>
        <v>1379.9318256281249</v>
      </c>
    </row>
    <row r="23" spans="1:15" s="5" customFormat="1" ht="19" customHeight="1" x14ac:dyDescent="0.2">
      <c r="C23" s="192"/>
      <c r="D23" s="157"/>
      <c r="K23"/>
      <c r="L23"/>
      <c r="M23"/>
      <c r="N23"/>
    </row>
    <row r="24" spans="1:15" ht="20" customHeight="1" x14ac:dyDescent="0.2">
      <c r="B24" s="189"/>
      <c r="C24" s="169" t="s">
        <v>36</v>
      </c>
      <c r="D24" s="169"/>
      <c r="E24" s="169"/>
      <c r="F24" s="169"/>
      <c r="G24" s="169"/>
      <c r="H24" s="169"/>
      <c r="I24" s="169"/>
    </row>
    <row r="25" spans="1:15" s="5" customFormat="1" ht="20" customHeight="1" x14ac:dyDescent="0.2">
      <c r="B25" s="5" t="s">
        <v>74</v>
      </c>
      <c r="C25" s="45" t="s">
        <v>44</v>
      </c>
      <c r="D25" s="171">
        <f>Revenue!D17</f>
        <v>8125</v>
      </c>
      <c r="E25" s="171">
        <f>Revenue!E17</f>
        <v>12654.25</v>
      </c>
      <c r="F25" s="171">
        <f>Revenue!F17</f>
        <v>18404.504999999997</v>
      </c>
      <c r="G25" s="171">
        <f>Revenue!G17</f>
        <v>27945.231124999998</v>
      </c>
      <c r="H25" s="171">
        <f>Revenue!H17</f>
        <v>32344.3378615</v>
      </c>
      <c r="I25" s="171">
        <f>Revenue!I17</f>
        <v>33614.898041095003</v>
      </c>
      <c r="K25"/>
      <c r="L25"/>
      <c r="M25"/>
      <c r="N25"/>
    </row>
    <row r="26" spans="1:15" s="5" customFormat="1" x14ac:dyDescent="0.2">
      <c r="B26" s="5" t="s">
        <v>75</v>
      </c>
      <c r="C26" s="45" t="s">
        <v>49</v>
      </c>
      <c r="D26" s="171">
        <f>Revenue!D16</f>
        <v>1000</v>
      </c>
      <c r="E26" s="171">
        <f>Revenue!E16</f>
        <v>1525</v>
      </c>
      <c r="F26" s="171">
        <f>Revenue!F16</f>
        <v>2150</v>
      </c>
      <c r="G26" s="171">
        <f>Revenue!G16</f>
        <v>3150</v>
      </c>
      <c r="H26" s="171">
        <f>Revenue!H16</f>
        <v>3500</v>
      </c>
      <c r="I26" s="171">
        <f>Revenue!I16</f>
        <v>3500</v>
      </c>
    </row>
    <row r="27" spans="1:15" s="5" customFormat="1" ht="20" customHeight="1" x14ac:dyDescent="0.2">
      <c r="B27" s="158" t="s">
        <v>76</v>
      </c>
      <c r="C27" s="45"/>
      <c r="D27" s="190"/>
      <c r="E27" s="190"/>
      <c r="F27" s="190"/>
      <c r="G27" s="190"/>
      <c r="H27" s="190"/>
      <c r="I27" s="190"/>
    </row>
    <row r="28" spans="1:15" ht="20" customHeight="1" x14ac:dyDescent="0.2">
      <c r="B28" t="str">
        <f>Cockpit!P4</f>
        <v xml:space="preserve">F900 </v>
      </c>
      <c r="C28" s="45" t="s">
        <v>77</v>
      </c>
      <c r="D28" s="228">
        <f t="shared" ref="D28:I28" si="12">(D13*D$26)/1000</f>
        <v>923.99999999999989</v>
      </c>
      <c r="E28" s="228">
        <f t="shared" si="12"/>
        <v>1620.4649999999997</v>
      </c>
      <c r="F28" s="228">
        <f t="shared" si="12"/>
        <v>2627.2784999999999</v>
      </c>
      <c r="G28" s="228">
        <f t="shared" si="12"/>
        <v>4426.6587749999999</v>
      </c>
      <c r="H28" s="228">
        <f t="shared" si="12"/>
        <v>5656.2862124999983</v>
      </c>
      <c r="I28" s="228">
        <f t="shared" si="12"/>
        <v>6504.7291443749982</v>
      </c>
      <c r="J28" s="5"/>
    </row>
    <row r="29" spans="1:15" ht="18" customHeight="1" x14ac:dyDescent="0.2">
      <c r="B29" t="str">
        <f>Cockpit!P5</f>
        <v>F900+ standard fuel</v>
      </c>
      <c r="C29" s="45" t="s">
        <v>77</v>
      </c>
      <c r="D29" s="228">
        <f t="shared" ref="D29:I29" si="13">(D20*D$26)/1000</f>
        <v>508.2</v>
      </c>
      <c r="E29" s="228">
        <f t="shared" si="13"/>
        <v>891.25575000000015</v>
      </c>
      <c r="F29" s="228">
        <f t="shared" si="13"/>
        <v>1445.0031749999998</v>
      </c>
      <c r="G29" s="228">
        <f t="shared" si="13"/>
        <v>2434.6623262499998</v>
      </c>
      <c r="H29" s="228">
        <f t="shared" si="13"/>
        <v>3110.9574168749991</v>
      </c>
      <c r="I29" s="228">
        <f t="shared" si="13"/>
        <v>3577.6010294062494</v>
      </c>
      <c r="J29" s="5"/>
      <c r="K29" s="228"/>
    </row>
    <row r="30" spans="1:15" ht="19" customHeight="1" x14ac:dyDescent="0.2">
      <c r="B30" t="str">
        <f>Cockpit!P6</f>
        <v>F900+ biofuel</v>
      </c>
      <c r="C30" s="45" t="s">
        <v>77</v>
      </c>
      <c r="D30" s="228">
        <f t="shared" ref="D30:I30" si="14">(D22*D$26)/1000</f>
        <v>762.3</v>
      </c>
      <c r="E30" s="228">
        <f t="shared" si="14"/>
        <v>1292.3208375000002</v>
      </c>
      <c r="F30" s="228">
        <f t="shared" si="14"/>
        <v>2023.0044449999996</v>
      </c>
      <c r="G30" s="228">
        <f t="shared" si="14"/>
        <v>3286.7941404375006</v>
      </c>
      <c r="H30" s="228">
        <f t="shared" si="14"/>
        <v>4199.7925127812496</v>
      </c>
      <c r="I30" s="228">
        <f t="shared" si="14"/>
        <v>4829.7613896984376</v>
      </c>
      <c r="J30" s="5"/>
    </row>
    <row r="31" spans="1:15" ht="20" customHeight="1" thickBot="1" x14ac:dyDescent="0.25">
      <c r="A31" t="s">
        <v>59</v>
      </c>
      <c r="B31" s="259" t="s">
        <v>78</v>
      </c>
      <c r="C31" s="225" t="s">
        <v>77</v>
      </c>
      <c r="D31" s="260">
        <f>INDEX(D28:D30,Cockpit!$P$3)</f>
        <v>508.2</v>
      </c>
      <c r="E31" s="260">
        <f>INDEX(E28:E30,Cockpit!$P$3)</f>
        <v>891.25575000000015</v>
      </c>
      <c r="F31" s="260">
        <f>INDEX(F28:F30,Cockpit!$P$3)</f>
        <v>1445.0031749999998</v>
      </c>
      <c r="G31" s="260">
        <f>INDEX(G28:G30,Cockpit!$P$3)</f>
        <v>2434.6623262499998</v>
      </c>
      <c r="H31" s="260">
        <f>INDEX(H28:H30,Cockpit!$P$3)</f>
        <v>3110.9574168749991</v>
      </c>
      <c r="I31" s="260">
        <f>INDEX(I28:I30,Cockpit!$P$3)</f>
        <v>3577.6010294062494</v>
      </c>
    </row>
    <row r="32" spans="1:15" x14ac:dyDescent="0.2">
      <c r="D32" s="4"/>
      <c r="E32" s="4"/>
      <c r="F32" s="4"/>
      <c r="G32" s="4"/>
      <c r="H32" s="4"/>
    </row>
  </sheetData>
  <phoneticPr fontId="4" type="noConversion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4" r:id="rId4" name="Drop Down 22">
              <controlPr defaultSize="0" autoLine="0" autoPict="0">
                <anchor moveWithCells="1">
                  <from>
                    <xdr:col>1</xdr:col>
                    <xdr:colOff>609600</xdr:colOff>
                    <xdr:row>0</xdr:row>
                    <xdr:rowOff>101600</xdr:rowOff>
                  </from>
                  <to>
                    <xdr:col>1</xdr:col>
                    <xdr:colOff>1892300</xdr:colOff>
                    <xdr:row>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5" name="Drop Down 23">
              <controlPr defaultSize="0" autoLine="0" autoPict="0">
                <anchor moveWithCells="1">
                  <from>
                    <xdr:col>2</xdr:col>
                    <xdr:colOff>292100</xdr:colOff>
                    <xdr:row>0</xdr:row>
                    <xdr:rowOff>127000</xdr:rowOff>
                  </from>
                  <to>
                    <xdr:col>2</xdr:col>
                    <xdr:colOff>1422400</xdr:colOff>
                    <xdr:row>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6" name="Drop Down 24">
              <controlPr defaultSize="0" autoLine="0" autoPict="0">
                <anchor moveWithCells="1">
                  <from>
                    <xdr:col>1</xdr:col>
                    <xdr:colOff>1930400</xdr:colOff>
                    <xdr:row>0</xdr:row>
                    <xdr:rowOff>127000</xdr:rowOff>
                  </from>
                  <to>
                    <xdr:col>2</xdr:col>
                    <xdr:colOff>254000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theme="4" tint="0.59999389629810485"/>
  </sheetPr>
  <dimension ref="A1:K38"/>
  <sheetViews>
    <sheetView showGridLines="0" tabSelected="1" zoomScale="79" zoomScaleNormal="110" workbookViewId="0">
      <pane ySplit="1" topLeftCell="A25" activePane="bottomLeft" state="frozen"/>
      <selection activeCell="B17" sqref="B17"/>
      <selection pane="bottomLeft" activeCell="H50" sqref="H50"/>
    </sheetView>
  </sheetViews>
  <sheetFormatPr baseColWidth="10" defaultColWidth="11.1640625" defaultRowHeight="16" x14ac:dyDescent="0.2"/>
  <cols>
    <col min="1" max="1" width="2.83203125" customWidth="1"/>
    <col min="2" max="2" width="40.83203125" customWidth="1"/>
    <col min="3" max="3" width="15.83203125" customWidth="1"/>
    <col min="4" max="4" width="10.83203125" customWidth="1"/>
    <col min="5" max="5" width="13.6640625" customWidth="1"/>
    <col min="6" max="11" width="10.83203125" customWidth="1"/>
  </cols>
  <sheetData>
    <row r="1" spans="1:11" s="36" customFormat="1" ht="44" customHeight="1" x14ac:dyDescent="0.2">
      <c r="A1" s="19"/>
      <c r="E1" s="54"/>
      <c r="F1" s="54"/>
      <c r="G1" s="54"/>
      <c r="H1" s="54"/>
      <c r="I1" s="54"/>
      <c r="J1" s="54"/>
    </row>
    <row r="2" spans="1:11" s="5" customFormat="1" ht="30" customHeight="1" x14ac:dyDescent="0.3">
      <c r="B2" s="66"/>
      <c r="C2" s="66"/>
      <c r="D2" s="67"/>
      <c r="E2" s="67"/>
      <c r="F2" s="67"/>
      <c r="G2" s="67"/>
      <c r="H2" s="67"/>
      <c r="I2" s="67"/>
      <c r="J2" s="67"/>
    </row>
    <row r="4" spans="1:11" x14ac:dyDescent="0.2">
      <c r="B4" s="51"/>
      <c r="C4" s="51"/>
      <c r="D4" s="5"/>
      <c r="E4" s="5"/>
      <c r="F4" s="5"/>
    </row>
    <row r="5" spans="1:11" ht="20" customHeight="1" x14ac:dyDescent="0.2">
      <c r="B5" s="215" t="s">
        <v>79</v>
      </c>
      <c r="C5" s="169"/>
      <c r="D5" s="169" t="s">
        <v>81</v>
      </c>
      <c r="E5" s="169" t="s">
        <v>293</v>
      </c>
      <c r="F5" s="169" t="s">
        <v>82</v>
      </c>
      <c r="K5" s="52"/>
    </row>
    <row r="6" spans="1:11" x14ac:dyDescent="0.2">
      <c r="B6" t="s">
        <v>83</v>
      </c>
      <c r="C6" s="45"/>
      <c r="D6" s="8">
        <v>1</v>
      </c>
      <c r="E6" s="330">
        <v>8000</v>
      </c>
      <c r="F6" s="332"/>
    </row>
    <row r="7" spans="1:11" x14ac:dyDescent="0.2">
      <c r="B7" t="s">
        <v>84</v>
      </c>
      <c r="C7" s="45"/>
      <c r="D7" s="8">
        <v>1</v>
      </c>
      <c r="E7" s="330">
        <v>5800</v>
      </c>
      <c r="F7" s="332"/>
    </row>
    <row r="8" spans="1:11" x14ac:dyDescent="0.2">
      <c r="B8" t="s">
        <v>85</v>
      </c>
      <c r="C8" s="45"/>
      <c r="D8" s="8">
        <v>1</v>
      </c>
      <c r="E8" s="330">
        <v>3350</v>
      </c>
      <c r="F8" s="332"/>
    </row>
    <row r="9" spans="1:11" x14ac:dyDescent="0.2">
      <c r="B9" s="51" t="s">
        <v>86</v>
      </c>
      <c r="C9" s="45"/>
      <c r="D9" s="69"/>
      <c r="E9" s="331">
        <f>SUMPRODUCT(D6:D8,E6:E8)</f>
        <v>17150</v>
      </c>
      <c r="F9" s="331">
        <f>E9*12</f>
        <v>205800</v>
      </c>
    </row>
    <row r="10" spans="1:11" x14ac:dyDescent="0.2">
      <c r="B10" s="51" t="s">
        <v>87</v>
      </c>
      <c r="C10" s="47" t="s">
        <v>42</v>
      </c>
      <c r="D10" s="51"/>
      <c r="E10" s="163"/>
      <c r="F10" s="333">
        <v>0.42</v>
      </c>
    </row>
    <row r="11" spans="1:11" ht="17" thickBot="1" x14ac:dyDescent="0.25">
      <c r="B11" s="194" t="s">
        <v>88</v>
      </c>
      <c r="C11" s="231" t="s">
        <v>44</v>
      </c>
      <c r="D11" s="195"/>
      <c r="E11" s="207"/>
      <c r="F11" s="334">
        <f>F9*(1+F10)</f>
        <v>292236</v>
      </c>
    </row>
    <row r="12" spans="1:11" x14ac:dyDescent="0.2">
      <c r="E12" s="8"/>
      <c r="F12" s="8"/>
    </row>
    <row r="13" spans="1:11" ht="20" customHeight="1" x14ac:dyDescent="0.2">
      <c r="B13" s="215" t="s">
        <v>89</v>
      </c>
      <c r="C13" s="169"/>
      <c r="D13" s="169" t="s">
        <v>81</v>
      </c>
      <c r="E13" s="169" t="str">
        <f>E5</f>
        <v>EUR per month</v>
      </c>
      <c r="F13" s="169" t="s">
        <v>82</v>
      </c>
    </row>
    <row r="14" spans="1:11" x14ac:dyDescent="0.2">
      <c r="B14" t="s">
        <v>83</v>
      </c>
      <c r="C14" s="45"/>
      <c r="D14" s="8">
        <v>1</v>
      </c>
      <c r="E14" s="330">
        <v>8000</v>
      </c>
      <c r="F14" s="332"/>
    </row>
    <row r="15" spans="1:11" x14ac:dyDescent="0.2">
      <c r="B15" t="s">
        <v>84</v>
      </c>
      <c r="C15" s="45"/>
      <c r="D15" s="8">
        <v>1</v>
      </c>
      <c r="E15" s="330">
        <v>5800</v>
      </c>
      <c r="F15" s="332"/>
    </row>
    <row r="16" spans="1:11" x14ac:dyDescent="0.2">
      <c r="B16" t="s">
        <v>85</v>
      </c>
      <c r="C16" s="45"/>
      <c r="D16" s="8">
        <v>2</v>
      </c>
      <c r="E16" s="330">
        <v>3350</v>
      </c>
      <c r="F16" s="332"/>
    </row>
    <row r="17" spans="2:10" x14ac:dyDescent="0.2">
      <c r="B17" s="2" t="s">
        <v>86</v>
      </c>
      <c r="C17" s="45"/>
      <c r="D17" s="69"/>
      <c r="E17" s="331">
        <f>SUMPRODUCT(D14:D16,E14:E16)</f>
        <v>20500</v>
      </c>
      <c r="F17" s="331">
        <f>E17*12</f>
        <v>246000</v>
      </c>
    </row>
    <row r="18" spans="2:10" x14ac:dyDescent="0.2">
      <c r="B18" s="51" t="s">
        <v>87</v>
      </c>
      <c r="C18" s="47" t="s">
        <v>42</v>
      </c>
      <c r="D18" s="5"/>
      <c r="E18" s="70"/>
      <c r="F18" s="333">
        <v>0.42</v>
      </c>
    </row>
    <row r="19" spans="2:10" ht="17" thickBot="1" x14ac:dyDescent="0.25">
      <c r="B19" s="194" t="s">
        <v>88</v>
      </c>
      <c r="C19" s="231" t="s">
        <v>44</v>
      </c>
      <c r="D19" s="195"/>
      <c r="E19" s="209"/>
      <c r="F19" s="334">
        <f>F17*(1+F18)</f>
        <v>349320</v>
      </c>
    </row>
    <row r="20" spans="2:10" ht="25" customHeight="1" x14ac:dyDescent="0.2"/>
    <row r="21" spans="2:10" ht="19" customHeight="1" x14ac:dyDescent="0.2">
      <c r="B21" s="206" t="s">
        <v>90</v>
      </c>
      <c r="C21" s="169" t="s">
        <v>80</v>
      </c>
      <c r="D21" s="169" t="s">
        <v>91</v>
      </c>
    </row>
    <row r="22" spans="2:10" ht="20" customHeight="1" x14ac:dyDescent="0.2">
      <c r="B22" t="s">
        <v>92</v>
      </c>
      <c r="C22" s="45" t="s">
        <v>93</v>
      </c>
      <c r="D22">
        <v>60</v>
      </c>
    </row>
    <row r="23" spans="2:10" x14ac:dyDescent="0.2">
      <c r="B23" t="s">
        <v>94</v>
      </c>
      <c r="C23" s="45" t="s">
        <v>95</v>
      </c>
      <c r="D23">
        <v>11</v>
      </c>
    </row>
    <row r="24" spans="2:10" ht="17" thickBot="1" x14ac:dyDescent="0.25">
      <c r="B24" s="199" t="s">
        <v>96</v>
      </c>
      <c r="C24" s="225" t="s">
        <v>97</v>
      </c>
      <c r="D24" s="199">
        <f>D23*D22</f>
        <v>660</v>
      </c>
    </row>
    <row r="25" spans="2:10" ht="24" customHeight="1" x14ac:dyDescent="0.2"/>
    <row r="26" spans="2:10" ht="20" customHeight="1" x14ac:dyDescent="0.2">
      <c r="B26" s="174"/>
      <c r="C26" s="174"/>
      <c r="D26" s="169">
        <v>2025</v>
      </c>
      <c r="E26" s="169">
        <v>2026</v>
      </c>
      <c r="F26" s="169">
        <v>2027</v>
      </c>
      <c r="G26" s="169">
        <v>2028</v>
      </c>
      <c r="H26" s="169">
        <v>2029</v>
      </c>
      <c r="I26" s="169">
        <v>2030</v>
      </c>
    </row>
    <row r="27" spans="2:10" ht="20" customHeight="1" x14ac:dyDescent="0.2">
      <c r="B27" t="s">
        <v>75</v>
      </c>
      <c r="C27" s="45" t="s">
        <v>49</v>
      </c>
      <c r="D27" s="202">
        <f>Revenue!D16</f>
        <v>1000</v>
      </c>
      <c r="E27" s="202">
        <f>Revenue!E16</f>
        <v>1525</v>
      </c>
      <c r="F27" s="202">
        <f>Revenue!F16</f>
        <v>2150</v>
      </c>
      <c r="G27" s="202">
        <f>Revenue!G16</f>
        <v>3150</v>
      </c>
      <c r="H27" s="202">
        <f>Revenue!H16</f>
        <v>3500</v>
      </c>
      <c r="I27" s="202">
        <f>Revenue!I16</f>
        <v>3500</v>
      </c>
    </row>
    <row r="28" spans="2:10" ht="16" customHeight="1" x14ac:dyDescent="0.2">
      <c r="B28" t="s">
        <v>98</v>
      </c>
      <c r="C28" s="45"/>
      <c r="D28" s="203">
        <f>D27/$D$24</f>
        <v>1.5151515151515151</v>
      </c>
      <c r="E28" s="203">
        <f t="shared" ref="E28:I28" si="0">E27/$D$24</f>
        <v>2.3106060606060606</v>
      </c>
      <c r="F28" s="203">
        <f t="shared" si="0"/>
        <v>3.2575757575757578</v>
      </c>
      <c r="G28" s="203">
        <f t="shared" si="0"/>
        <v>4.7727272727272725</v>
      </c>
      <c r="H28" s="203">
        <f t="shared" si="0"/>
        <v>5.3030303030303028</v>
      </c>
      <c r="I28" s="203">
        <f t="shared" si="0"/>
        <v>5.3030303030303028</v>
      </c>
    </row>
    <row r="29" spans="2:10" ht="16" customHeight="1" x14ac:dyDescent="0.2">
      <c r="B29" s="239" t="s">
        <v>99</v>
      </c>
      <c r="C29" s="229"/>
      <c r="D29" s="230">
        <f>ROUNDUP(D28,0)</f>
        <v>2</v>
      </c>
      <c r="E29" s="230">
        <f t="shared" ref="E29:I29" si="1">ROUNDUP(E28,0)</f>
        <v>3</v>
      </c>
      <c r="F29" s="230">
        <f t="shared" si="1"/>
        <v>4</v>
      </c>
      <c r="G29" s="230">
        <f t="shared" si="1"/>
        <v>5</v>
      </c>
      <c r="H29" s="230">
        <f t="shared" si="1"/>
        <v>6</v>
      </c>
      <c r="I29" s="230">
        <f t="shared" si="1"/>
        <v>6</v>
      </c>
    </row>
    <row r="30" spans="2:10" ht="20" customHeight="1" x14ac:dyDescent="0.2">
      <c r="B30" t="s">
        <v>100</v>
      </c>
      <c r="C30" s="45" t="s">
        <v>42</v>
      </c>
      <c r="D30" s="204"/>
      <c r="E30" s="205">
        <v>2.5000000000000001E-2</v>
      </c>
      <c r="F30" s="205">
        <v>2.5000000000000001E-2</v>
      </c>
      <c r="G30" s="205">
        <v>2.5000000000000001E-2</v>
      </c>
      <c r="H30" s="205">
        <v>2.5000000000000001E-2</v>
      </c>
      <c r="I30" s="205">
        <v>2.5000000000000001E-2</v>
      </c>
    </row>
    <row r="31" spans="2:10" ht="16" customHeight="1" x14ac:dyDescent="0.2">
      <c r="B31" t="s">
        <v>101</v>
      </c>
      <c r="C31" s="45" t="s">
        <v>44</v>
      </c>
      <c r="D31" s="202">
        <f>(F11)/1000</f>
        <v>292.23599999999999</v>
      </c>
      <c r="E31" s="202">
        <f>D31*(1+E30)</f>
        <v>299.54189999999994</v>
      </c>
      <c r="F31" s="202">
        <f t="shared" ref="F31:H31" si="2">E31*(1+F30)</f>
        <v>307.03044749999992</v>
      </c>
      <c r="G31" s="202">
        <f t="shared" si="2"/>
        <v>314.7062086874999</v>
      </c>
      <c r="H31" s="202">
        <f t="shared" si="2"/>
        <v>322.57386390468736</v>
      </c>
      <c r="I31" s="202">
        <f>H31*(1+I30)</f>
        <v>330.6382105023045</v>
      </c>
      <c r="J31" s="202"/>
    </row>
    <row r="32" spans="2:10" ht="16" customHeight="1" x14ac:dyDescent="0.2">
      <c r="B32" t="s">
        <v>102</v>
      </c>
      <c r="C32" s="45" t="s">
        <v>44</v>
      </c>
      <c r="D32" s="202">
        <f>(F19)/1000</f>
        <v>349.32</v>
      </c>
      <c r="E32" s="202">
        <f>D32*(1+E30)</f>
        <v>358.05299999999994</v>
      </c>
      <c r="F32" s="202">
        <f t="shared" ref="F32:I32" si="3">E32*(1+F30)</f>
        <v>367.00432499999988</v>
      </c>
      <c r="G32" s="202">
        <f t="shared" si="3"/>
        <v>376.17943312499983</v>
      </c>
      <c r="H32" s="202">
        <f t="shared" si="3"/>
        <v>385.58391895312479</v>
      </c>
      <c r="I32" s="202">
        <f t="shared" si="3"/>
        <v>395.22351692695287</v>
      </c>
    </row>
    <row r="33" spans="2:9" ht="20" customHeight="1" x14ac:dyDescent="0.2">
      <c r="B33" t="s">
        <v>103</v>
      </c>
      <c r="C33" s="45" t="s">
        <v>42</v>
      </c>
      <c r="D33" s="295">
        <v>0.6</v>
      </c>
      <c r="E33" s="295">
        <v>0.6</v>
      </c>
      <c r="F33" s="295">
        <v>0.6</v>
      </c>
      <c r="G33" s="295">
        <v>0.5</v>
      </c>
      <c r="H33" s="295">
        <v>0.4</v>
      </c>
      <c r="I33" s="295">
        <v>0.4</v>
      </c>
    </row>
    <row r="34" spans="2:9" ht="16" customHeight="1" x14ac:dyDescent="0.2">
      <c r="B34" t="s">
        <v>104</v>
      </c>
      <c r="C34" s="45" t="s">
        <v>42</v>
      </c>
      <c r="D34" s="295">
        <f>1-D33</f>
        <v>0.4</v>
      </c>
      <c r="E34" s="295">
        <f t="shared" ref="E34:I34" si="4">1-E33</f>
        <v>0.4</v>
      </c>
      <c r="F34" s="295">
        <f t="shared" si="4"/>
        <v>0.4</v>
      </c>
      <c r="G34" s="295">
        <f t="shared" si="4"/>
        <v>0.5</v>
      </c>
      <c r="H34" s="295">
        <f t="shared" si="4"/>
        <v>0.6</v>
      </c>
      <c r="I34" s="295">
        <f t="shared" si="4"/>
        <v>0.6</v>
      </c>
    </row>
    <row r="35" spans="2:9" ht="20" customHeight="1" x14ac:dyDescent="0.2">
      <c r="B35" t="s">
        <v>105</v>
      </c>
      <c r="C35" s="45" t="s">
        <v>44</v>
      </c>
      <c r="D35" s="202">
        <f>D31*D33*D29</f>
        <v>350.6832</v>
      </c>
      <c r="E35" s="202">
        <f t="shared" ref="E35:I35" si="5">E31*E33*E29</f>
        <v>539.1754199999998</v>
      </c>
      <c r="F35" s="202">
        <f t="shared" si="5"/>
        <v>736.87307399999975</v>
      </c>
      <c r="G35" s="202">
        <f t="shared" si="5"/>
        <v>786.76552171874971</v>
      </c>
      <c r="H35" s="202">
        <f t="shared" si="5"/>
        <v>774.17727337124973</v>
      </c>
      <c r="I35" s="202">
        <f t="shared" si="5"/>
        <v>793.5317052055309</v>
      </c>
    </row>
    <row r="36" spans="2:9" ht="16" customHeight="1" x14ac:dyDescent="0.2">
      <c r="B36" t="s">
        <v>106</v>
      </c>
      <c r="C36" s="45" t="s">
        <v>44</v>
      </c>
      <c r="D36" s="202">
        <f>+D32*D34*D29</f>
        <v>279.45600000000002</v>
      </c>
      <c r="E36" s="202">
        <f t="shared" ref="E36:I36" si="6">+E32*E34*E29</f>
        <v>429.66359999999997</v>
      </c>
      <c r="F36" s="202">
        <f t="shared" si="6"/>
        <v>587.20691999999985</v>
      </c>
      <c r="G36" s="202">
        <f t="shared" si="6"/>
        <v>940.44858281249958</v>
      </c>
      <c r="H36" s="202">
        <f t="shared" si="6"/>
        <v>1388.1021082312491</v>
      </c>
      <c r="I36" s="202">
        <f t="shared" si="6"/>
        <v>1422.8046609370303</v>
      </c>
    </row>
    <row r="37" spans="2:9" ht="20" customHeight="1" thickBot="1" x14ac:dyDescent="0.25">
      <c r="B37" s="194" t="s">
        <v>107</v>
      </c>
      <c r="C37" s="231" t="s">
        <v>44</v>
      </c>
      <c r="D37" s="193">
        <f>D35+D36</f>
        <v>630.13920000000007</v>
      </c>
      <c r="E37" s="193">
        <f t="shared" ref="E37:I37" si="7">E35+E36</f>
        <v>968.83901999999978</v>
      </c>
      <c r="F37" s="193">
        <f t="shared" si="7"/>
        <v>1324.0799939999997</v>
      </c>
      <c r="G37" s="193">
        <f t="shared" si="7"/>
        <v>1727.2141045312492</v>
      </c>
      <c r="H37" s="193">
        <f t="shared" si="7"/>
        <v>2162.2793816024987</v>
      </c>
      <c r="I37" s="193">
        <f t="shared" si="7"/>
        <v>2216.336366142561</v>
      </c>
    </row>
    <row r="38" spans="2:9" x14ac:dyDescent="0.2">
      <c r="C38" s="8"/>
    </row>
  </sheetData>
  <phoneticPr fontId="4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>
    <tabColor theme="4" tint="0.59999389629810485"/>
  </sheetPr>
  <dimension ref="B1:K21"/>
  <sheetViews>
    <sheetView showGridLines="0" zoomScale="69" zoomScaleNormal="120" workbookViewId="0">
      <pane ySplit="1" topLeftCell="A4" activePane="bottomLeft" state="frozen"/>
      <selection pane="bottomLeft" activeCell="D18" sqref="D18"/>
    </sheetView>
  </sheetViews>
  <sheetFormatPr baseColWidth="10" defaultColWidth="11.1640625" defaultRowHeight="16" x14ac:dyDescent="0.2"/>
  <cols>
    <col min="1" max="1" width="2.83203125" customWidth="1"/>
    <col min="2" max="2" width="38" customWidth="1"/>
    <col min="3" max="3" width="13.1640625" customWidth="1"/>
    <col min="4" max="9" width="10.83203125" customWidth="1"/>
  </cols>
  <sheetData>
    <row r="1" spans="2:9" ht="46" customHeight="1" x14ac:dyDescent="0.2">
      <c r="C1" s="2"/>
      <c r="D1" s="99">
        <f>D13</f>
        <v>2025</v>
      </c>
      <c r="E1" s="99">
        <f t="shared" ref="E1:I1" si="0">E13</f>
        <v>2026</v>
      </c>
      <c r="F1" s="99">
        <f t="shared" si="0"/>
        <v>2027</v>
      </c>
      <c r="G1" s="99">
        <f t="shared" si="0"/>
        <v>2028</v>
      </c>
      <c r="H1" s="99">
        <f t="shared" si="0"/>
        <v>2029</v>
      </c>
      <c r="I1" s="99">
        <f t="shared" si="0"/>
        <v>2030</v>
      </c>
    </row>
    <row r="3" spans="2:9" ht="28" customHeight="1" x14ac:dyDescent="0.2"/>
    <row r="4" spans="2:9" ht="17" thickBot="1" x14ac:dyDescent="0.25"/>
    <row r="5" spans="2:9" ht="17" thickBot="1" x14ac:dyDescent="0.25">
      <c r="B5" s="339" t="s">
        <v>57</v>
      </c>
      <c r="C5" s="340" t="s">
        <v>58</v>
      </c>
      <c r="D5" s="341">
        <f>Cockpit!H20</f>
        <v>0.7</v>
      </c>
      <c r="E5" s="203"/>
    </row>
    <row r="7" spans="2:9" ht="20" customHeight="1" x14ac:dyDescent="0.2">
      <c r="B7" s="215"/>
      <c r="C7" s="169" t="s">
        <v>80</v>
      </c>
      <c r="D7" s="169" t="s">
        <v>108</v>
      </c>
      <c r="E7" s="169" t="s">
        <v>108</v>
      </c>
    </row>
    <row r="8" spans="2:9" ht="15" customHeight="1" x14ac:dyDescent="0.2">
      <c r="B8" s="215"/>
      <c r="C8" s="169"/>
      <c r="D8" s="169">
        <v>900</v>
      </c>
      <c r="E8" s="169" t="s">
        <v>109</v>
      </c>
    </row>
    <row r="9" spans="2:9" ht="19" customHeight="1" x14ac:dyDescent="0.2">
      <c r="B9" t="s">
        <v>110</v>
      </c>
      <c r="C9" s="45" t="s">
        <v>111</v>
      </c>
      <c r="D9" s="202">
        <v>100000</v>
      </c>
      <c r="E9" s="202">
        <v>125000</v>
      </c>
    </row>
    <row r="10" spans="2:9" x14ac:dyDescent="0.2">
      <c r="B10" t="s">
        <v>112</v>
      </c>
      <c r="C10" s="45" t="s">
        <v>111</v>
      </c>
      <c r="D10" s="202">
        <f>D9*12</f>
        <v>1200000</v>
      </c>
      <c r="E10" s="202">
        <f t="shared" ref="E10" si="1">E9*12</f>
        <v>1500000</v>
      </c>
    </row>
    <row r="11" spans="2:9" ht="20" customHeight="1" thickBot="1" x14ac:dyDescent="0.25">
      <c r="B11" s="194" t="s">
        <v>112</v>
      </c>
      <c r="C11" s="231" t="s">
        <v>44</v>
      </c>
      <c r="D11" s="210">
        <f>D10*$D$5</f>
        <v>840000</v>
      </c>
      <c r="E11" s="210">
        <f>E10*$D$5</f>
        <v>1050000</v>
      </c>
    </row>
    <row r="12" spans="2:9" ht="20" customHeight="1" x14ac:dyDescent="0.2"/>
    <row r="13" spans="2:9" ht="20" customHeight="1" x14ac:dyDescent="0.2">
      <c r="B13" s="46"/>
      <c r="C13" s="45"/>
      <c r="D13" s="169">
        <v>2025</v>
      </c>
      <c r="E13" s="169">
        <v>2026</v>
      </c>
      <c r="F13" s="169">
        <v>2027</v>
      </c>
      <c r="G13" s="169">
        <v>2028</v>
      </c>
      <c r="H13" s="169">
        <v>2029</v>
      </c>
      <c r="I13" s="169">
        <v>2030</v>
      </c>
    </row>
    <row r="14" spans="2:9" ht="20" customHeight="1" x14ac:dyDescent="0.2">
      <c r="B14" t="s">
        <v>113</v>
      </c>
      <c r="C14" s="45" t="s">
        <v>49</v>
      </c>
      <c r="D14" s="173">
        <f>Revenue!D16</f>
        <v>1000</v>
      </c>
      <c r="E14" s="173">
        <f>Revenue!E16</f>
        <v>1525</v>
      </c>
      <c r="F14" s="173">
        <f>Revenue!F16</f>
        <v>2150</v>
      </c>
      <c r="G14" s="173">
        <f>Revenue!G16</f>
        <v>3150</v>
      </c>
      <c r="H14" s="173">
        <f>Revenue!H16</f>
        <v>3500</v>
      </c>
      <c r="I14" s="173">
        <f>Revenue!I16</f>
        <v>3500</v>
      </c>
    </row>
    <row r="15" spans="2:9" ht="18" customHeight="1" x14ac:dyDescent="0.2">
      <c r="B15" t="s">
        <v>114</v>
      </c>
      <c r="C15" s="45" t="s">
        <v>49</v>
      </c>
      <c r="D15" s="82">
        <v>500</v>
      </c>
      <c r="E15" s="82">
        <v>500</v>
      </c>
      <c r="F15" s="82">
        <v>500</v>
      </c>
      <c r="G15" s="82">
        <v>500</v>
      </c>
      <c r="H15" s="82">
        <v>500</v>
      </c>
      <c r="I15" s="82">
        <v>500</v>
      </c>
    </row>
    <row r="16" spans="2:9" ht="18" customHeight="1" x14ac:dyDescent="0.2">
      <c r="B16" t="s">
        <v>115</v>
      </c>
      <c r="C16" s="45"/>
      <c r="D16" s="211">
        <f>D14/D15</f>
        <v>2</v>
      </c>
      <c r="E16" s="211">
        <f t="shared" ref="E16:I16" si="2">E14/E15</f>
        <v>3.05</v>
      </c>
      <c r="F16" s="211">
        <f t="shared" si="2"/>
        <v>4.3</v>
      </c>
      <c r="G16" s="211">
        <f t="shared" si="2"/>
        <v>6.3</v>
      </c>
      <c r="H16" s="211">
        <f t="shared" si="2"/>
        <v>7</v>
      </c>
      <c r="I16" s="211">
        <f t="shared" si="2"/>
        <v>7</v>
      </c>
    </row>
    <row r="17" spans="2:11" ht="18" customHeight="1" x14ac:dyDescent="0.2">
      <c r="B17" s="213" t="s">
        <v>116</v>
      </c>
      <c r="C17" s="232"/>
      <c r="D17" s="212">
        <f>ROUNDUP(D16,0)</f>
        <v>2</v>
      </c>
      <c r="E17" s="212">
        <f t="shared" ref="E17:I17" si="3">ROUNDUP(E16,0)</f>
        <v>4</v>
      </c>
      <c r="F17" s="212">
        <f t="shared" si="3"/>
        <v>5</v>
      </c>
      <c r="G17" s="212">
        <f t="shared" si="3"/>
        <v>7</v>
      </c>
      <c r="H17" s="212">
        <f t="shared" si="3"/>
        <v>7</v>
      </c>
      <c r="I17" s="212">
        <f t="shared" si="3"/>
        <v>7</v>
      </c>
    </row>
    <row r="18" spans="2:11" ht="20" customHeight="1" x14ac:dyDescent="0.2">
      <c r="B18" t="str">
        <f>_xlfn.CONCAT("Leasing cost - ",Cockpit!P4)</f>
        <v xml:space="preserve">Leasing cost - F900 </v>
      </c>
      <c r="C18" s="45" t="s">
        <v>44</v>
      </c>
      <c r="D18" s="214">
        <f t="shared" ref="D18:I18" si="4">($D$11*D17)/1000</f>
        <v>1680</v>
      </c>
      <c r="E18" s="214">
        <f t="shared" si="4"/>
        <v>3360</v>
      </c>
      <c r="F18" s="214">
        <f t="shared" si="4"/>
        <v>4200</v>
      </c>
      <c r="G18" s="214">
        <f t="shared" si="4"/>
        <v>5880</v>
      </c>
      <c r="H18" s="214">
        <f t="shared" si="4"/>
        <v>5880</v>
      </c>
      <c r="I18" s="214">
        <f t="shared" si="4"/>
        <v>5880</v>
      </c>
      <c r="J18" s="135"/>
      <c r="K18" s="214"/>
    </row>
    <row r="19" spans="2:11" ht="18" customHeight="1" x14ac:dyDescent="0.2">
      <c r="B19" t="str">
        <f>_xlfn.CONCAT("Leasing cost - ",Cockpit!P5)</f>
        <v>Leasing cost - F900+ standard fuel</v>
      </c>
      <c r="C19" s="45" t="s">
        <v>44</v>
      </c>
      <c r="D19" s="214">
        <f t="shared" ref="D19:I19" si="5">($E$11*D17)/1000</f>
        <v>2100</v>
      </c>
      <c r="E19" s="214">
        <f t="shared" si="5"/>
        <v>4200</v>
      </c>
      <c r="F19" s="214">
        <f t="shared" si="5"/>
        <v>5250</v>
      </c>
      <c r="G19" s="214">
        <f t="shared" si="5"/>
        <v>7350</v>
      </c>
      <c r="H19" s="214">
        <f t="shared" si="5"/>
        <v>7350</v>
      </c>
      <c r="I19" s="214">
        <f t="shared" si="5"/>
        <v>7350</v>
      </c>
      <c r="J19" s="135"/>
      <c r="K19" s="5"/>
    </row>
    <row r="20" spans="2:11" ht="18" customHeight="1" x14ac:dyDescent="0.2">
      <c r="B20" t="str">
        <f>_xlfn.CONCAT("Leasing cost - ",Cockpit!P6)</f>
        <v>Leasing cost - F900+ biofuel</v>
      </c>
      <c r="C20" s="45" t="s">
        <v>44</v>
      </c>
      <c r="D20" s="214">
        <f>D19</f>
        <v>2100</v>
      </c>
      <c r="E20" s="214">
        <f t="shared" ref="E20:I20" si="6">E19</f>
        <v>4200</v>
      </c>
      <c r="F20" s="214">
        <f t="shared" si="6"/>
        <v>5250</v>
      </c>
      <c r="G20" s="214">
        <f t="shared" si="6"/>
        <v>7350</v>
      </c>
      <c r="H20" s="214">
        <f t="shared" si="6"/>
        <v>7350</v>
      </c>
      <c r="I20" s="214">
        <f t="shared" si="6"/>
        <v>7350</v>
      </c>
      <c r="J20" s="135"/>
    </row>
    <row r="21" spans="2:11" ht="18" customHeight="1" thickBot="1" x14ac:dyDescent="0.25">
      <c r="B21" s="259" t="s">
        <v>117</v>
      </c>
      <c r="C21" s="231" t="s">
        <v>44</v>
      </c>
      <c r="D21" s="261">
        <f>INDEX(D18:D20,Cockpit!$P$3)</f>
        <v>2100</v>
      </c>
      <c r="E21" s="261">
        <f>INDEX(E18:E20,Cockpit!$P$3)</f>
        <v>4200</v>
      </c>
      <c r="F21" s="261">
        <f>INDEX(F18:F20,Cockpit!$P$3)</f>
        <v>5250</v>
      </c>
      <c r="G21" s="261">
        <f>INDEX(G18:G20,Cockpit!$P$3)</f>
        <v>7350</v>
      </c>
      <c r="H21" s="261">
        <f>INDEX(H18:H20,Cockpit!$P$3)</f>
        <v>7350</v>
      </c>
      <c r="I21" s="261">
        <f>INDEX(I18:I20,Cockpit!$P$3)</f>
        <v>7350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Drop Down 5">
              <controlPr defaultSize="0" autoLine="0" autoPict="0">
                <anchor moveWithCells="1">
                  <from>
                    <xdr:col>1</xdr:col>
                    <xdr:colOff>2336800</xdr:colOff>
                    <xdr:row>0</xdr:row>
                    <xdr:rowOff>139700</xdr:rowOff>
                  </from>
                  <to>
                    <xdr:col>2</xdr:col>
                    <xdr:colOff>825500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Drop Down 6">
              <controlPr defaultSize="0" autoLine="0" autoPict="0">
                <anchor moveWithCells="1">
                  <from>
                    <xdr:col>1</xdr:col>
                    <xdr:colOff>863600</xdr:colOff>
                    <xdr:row>0</xdr:row>
                    <xdr:rowOff>152400</xdr:rowOff>
                  </from>
                  <to>
                    <xdr:col>1</xdr:col>
                    <xdr:colOff>2273300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>
    <tabColor theme="4" tint="0.59999389629810485"/>
  </sheetPr>
  <dimension ref="A1:AQ26"/>
  <sheetViews>
    <sheetView showGridLines="0" zoomScale="80" zoomScaleNormal="120" workbookViewId="0">
      <pane ySplit="1" topLeftCell="A2" activePane="bottomLeft" state="frozen"/>
      <selection activeCell="B17" sqref="B17"/>
      <selection pane="bottomLeft" activeCell="I9" sqref="I9"/>
    </sheetView>
  </sheetViews>
  <sheetFormatPr baseColWidth="10" defaultColWidth="11.1640625" defaultRowHeight="16" x14ac:dyDescent="0.2"/>
  <cols>
    <col min="1" max="1" width="2.6640625" customWidth="1"/>
    <col min="2" max="2" width="40.83203125" customWidth="1"/>
    <col min="3" max="3" width="15.83203125" customWidth="1"/>
    <col min="4" max="10" width="10.83203125" customWidth="1"/>
  </cols>
  <sheetData>
    <row r="1" spans="1:43" ht="31" customHeight="1" x14ac:dyDescent="0.2">
      <c r="A1" s="5"/>
      <c r="D1" s="58">
        <f>D5</f>
        <v>2025</v>
      </c>
      <c r="E1" s="58">
        <f t="shared" ref="E1:I1" si="0">E5</f>
        <v>2026</v>
      </c>
      <c r="F1" s="58">
        <f t="shared" si="0"/>
        <v>2027</v>
      </c>
      <c r="G1" s="58">
        <f t="shared" si="0"/>
        <v>2028</v>
      </c>
      <c r="H1" s="58">
        <f t="shared" si="0"/>
        <v>2029</v>
      </c>
      <c r="I1" s="58">
        <f t="shared" si="0"/>
        <v>2030</v>
      </c>
      <c r="K1" s="2" t="s">
        <v>300</v>
      </c>
    </row>
    <row r="2" spans="1:43" x14ac:dyDescent="0.2">
      <c r="A2" s="5"/>
    </row>
    <row r="3" spans="1:43" x14ac:dyDescent="0.2">
      <c r="A3" s="5"/>
    </row>
    <row r="4" spans="1:43" ht="20" customHeight="1" x14ac:dyDescent="0.2"/>
    <row r="5" spans="1:43" ht="20" customHeight="1" x14ac:dyDescent="0.2">
      <c r="B5" s="46"/>
      <c r="C5" s="47" t="s">
        <v>80</v>
      </c>
      <c r="D5" s="169">
        <f>Revenue!D5</f>
        <v>2025</v>
      </c>
      <c r="E5" s="169">
        <f>Revenue!E5</f>
        <v>2026</v>
      </c>
      <c r="F5" s="169">
        <f>Revenue!F5</f>
        <v>2027</v>
      </c>
      <c r="G5" s="169">
        <f>Revenue!G5</f>
        <v>2028</v>
      </c>
      <c r="H5" s="169">
        <f>Revenue!H5</f>
        <v>2029</v>
      </c>
      <c r="I5" s="169">
        <f>Revenue!I5</f>
        <v>2030</v>
      </c>
    </row>
    <row r="6" spans="1:43" x14ac:dyDescent="0.2">
      <c r="B6" t="s">
        <v>75</v>
      </c>
      <c r="C6" s="45" t="s">
        <v>49</v>
      </c>
      <c r="D6" s="202">
        <f>Revenue!D16</f>
        <v>1000</v>
      </c>
      <c r="E6" s="202">
        <f>Revenue!E16</f>
        <v>1525</v>
      </c>
      <c r="F6" s="202">
        <f>Revenue!F16</f>
        <v>2150</v>
      </c>
      <c r="G6" s="202">
        <f>Revenue!G16</f>
        <v>3150</v>
      </c>
      <c r="H6" s="202">
        <f>Revenue!H16</f>
        <v>3500</v>
      </c>
      <c r="I6" s="202">
        <f>Revenue!I16</f>
        <v>3500</v>
      </c>
    </row>
    <row r="7" spans="1:43" x14ac:dyDescent="0.2">
      <c r="B7" t="s">
        <v>118</v>
      </c>
      <c r="C7" s="45" t="s">
        <v>119</v>
      </c>
      <c r="D7" s="202">
        <v>1500</v>
      </c>
      <c r="E7" s="202">
        <f>D7*(1+E8)</f>
        <v>1575</v>
      </c>
      <c r="F7" s="202">
        <f t="shared" ref="F7:I7" si="1">E7*(1+F8)</f>
        <v>1653.75</v>
      </c>
      <c r="G7" s="202">
        <f t="shared" si="1"/>
        <v>1736.4375</v>
      </c>
      <c r="H7" s="202">
        <f t="shared" si="1"/>
        <v>1823.2593750000001</v>
      </c>
      <c r="I7" s="202">
        <f t="shared" si="1"/>
        <v>1914.4223437500002</v>
      </c>
    </row>
    <row r="8" spans="1:43" x14ac:dyDescent="0.2">
      <c r="B8" t="s">
        <v>120</v>
      </c>
      <c r="C8" s="45" t="s">
        <v>42</v>
      </c>
      <c r="D8" s="83"/>
      <c r="E8" s="216">
        <v>0.05</v>
      </c>
      <c r="F8" s="216">
        <v>0.05</v>
      </c>
      <c r="G8" s="216">
        <v>0.05</v>
      </c>
      <c r="H8" s="216">
        <v>0.05</v>
      </c>
      <c r="I8" s="216">
        <v>0.05</v>
      </c>
    </row>
    <row r="9" spans="1:43" ht="17" thickBot="1" x14ac:dyDescent="0.25">
      <c r="B9" s="194" t="s">
        <v>121</v>
      </c>
      <c r="C9" s="233" t="s">
        <v>44</v>
      </c>
      <c r="D9" s="193">
        <f t="shared" ref="D9:I9" si="2">(PRODUCT(D6,D7))/1000</f>
        <v>1500</v>
      </c>
      <c r="E9" s="193">
        <f t="shared" si="2"/>
        <v>2401.875</v>
      </c>
      <c r="F9" s="193">
        <f t="shared" si="2"/>
        <v>3555.5625</v>
      </c>
      <c r="G9" s="193">
        <f t="shared" si="2"/>
        <v>5469.7781249999998</v>
      </c>
      <c r="H9" s="193">
        <f t="shared" si="2"/>
        <v>6381.4078124999996</v>
      </c>
      <c r="I9" s="193">
        <f t="shared" si="2"/>
        <v>6700.4782031250006</v>
      </c>
      <c r="K9" s="202" t="s">
        <v>301</v>
      </c>
    </row>
    <row r="10" spans="1:43" s="5" customFormat="1" x14ac:dyDescent="0.2">
      <c r="D10" s="50"/>
      <c r="E10" s="50"/>
      <c r="F10" s="50"/>
      <c r="G10" s="50"/>
      <c r="H10" s="5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</row>
    <row r="15" spans="1:43" ht="20" customHeight="1" x14ac:dyDescent="0.2">
      <c r="B15" s="46"/>
      <c r="C15" s="47"/>
      <c r="D15" s="169">
        <f>D5</f>
        <v>2025</v>
      </c>
      <c r="E15" s="169">
        <f t="shared" ref="E15:I15" si="3">E5</f>
        <v>2026</v>
      </c>
      <c r="F15" s="169">
        <f t="shared" si="3"/>
        <v>2027</v>
      </c>
      <c r="G15" s="169">
        <f t="shared" si="3"/>
        <v>2028</v>
      </c>
      <c r="H15" s="169">
        <f t="shared" si="3"/>
        <v>2029</v>
      </c>
      <c r="I15" s="169">
        <f t="shared" si="3"/>
        <v>2030</v>
      </c>
    </row>
    <row r="16" spans="1:43" ht="20" customHeight="1" x14ac:dyDescent="0.2">
      <c r="B16" s="196" t="s">
        <v>122</v>
      </c>
      <c r="C16" s="234" t="s">
        <v>44</v>
      </c>
      <c r="D16" s="221">
        <f>Revenue!D17</f>
        <v>8125</v>
      </c>
      <c r="E16" s="221">
        <f>Revenue!E17</f>
        <v>12654.25</v>
      </c>
      <c r="F16" s="221">
        <f>Revenue!F17</f>
        <v>18404.504999999997</v>
      </c>
      <c r="G16" s="221">
        <f>Revenue!G17</f>
        <v>27945.231124999998</v>
      </c>
      <c r="H16" s="221">
        <f>Revenue!H17</f>
        <v>32344.3378615</v>
      </c>
      <c r="I16" s="221">
        <f>Revenue!I17</f>
        <v>33614.898041095003</v>
      </c>
      <c r="J16" s="83"/>
      <c r="K16" s="83"/>
    </row>
    <row r="17" spans="2:43" s="2" customFormat="1" ht="20" customHeight="1" x14ac:dyDescent="0.2">
      <c r="B17" t="s">
        <v>294</v>
      </c>
      <c r="C17" s="45" t="s">
        <v>44</v>
      </c>
      <c r="D17" s="219">
        <v>450</v>
      </c>
      <c r="E17" s="219">
        <f>D17*(1+E18)</f>
        <v>495.00000000000006</v>
      </c>
      <c r="F17" s="219">
        <f t="shared" ref="F17:I17" si="4">E17*(1+F18)</f>
        <v>544.50000000000011</v>
      </c>
      <c r="G17" s="219">
        <f t="shared" si="4"/>
        <v>598.95000000000016</v>
      </c>
      <c r="H17" s="219">
        <f t="shared" si="4"/>
        <v>658.84500000000025</v>
      </c>
      <c r="I17" s="219">
        <f t="shared" si="4"/>
        <v>724.72950000000037</v>
      </c>
      <c r="J17" s="103"/>
      <c r="K17" s="103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2:43" s="5" customFormat="1" x14ac:dyDescent="0.2">
      <c r="B18" t="s">
        <v>123</v>
      </c>
      <c r="C18" s="235" t="s">
        <v>42</v>
      </c>
      <c r="D18" s="217"/>
      <c r="E18" s="217">
        <v>0.1</v>
      </c>
      <c r="F18" s="217">
        <v>0.1</v>
      </c>
      <c r="G18" s="217">
        <v>0.1</v>
      </c>
      <c r="H18" s="217">
        <v>0.1</v>
      </c>
      <c r="I18" s="217">
        <v>0.1</v>
      </c>
      <c r="J18" s="71"/>
      <c r="K18" s="103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2:43" s="2" customFormat="1" ht="20" customHeight="1" x14ac:dyDescent="0.2">
      <c r="B19" t="s">
        <v>124</v>
      </c>
      <c r="C19" s="45" t="s">
        <v>44</v>
      </c>
      <c r="D19" s="219">
        <v>300</v>
      </c>
      <c r="E19" s="219">
        <f>D19*(1+E20)</f>
        <v>330</v>
      </c>
      <c r="F19" s="219">
        <f t="shared" ref="F19" si="5">E19*(1+F20)</f>
        <v>363.00000000000006</v>
      </c>
      <c r="G19" s="219">
        <f t="shared" ref="G19" si="6">F19*(1+G20)</f>
        <v>399.30000000000007</v>
      </c>
      <c r="H19" s="219">
        <f t="shared" ref="H19" si="7">G19*(1+H20)</f>
        <v>439.23000000000013</v>
      </c>
      <c r="I19" s="219">
        <f t="shared" ref="I19" si="8">H19*(1+I20)</f>
        <v>483.15300000000019</v>
      </c>
      <c r="J19" s="103"/>
      <c r="K19" s="103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2:43" s="5" customFormat="1" x14ac:dyDescent="0.2">
      <c r="B20" t="s">
        <v>123</v>
      </c>
      <c r="C20" s="235" t="s">
        <v>42</v>
      </c>
      <c r="D20" s="217"/>
      <c r="E20" s="217">
        <v>0.1</v>
      </c>
      <c r="F20" s="217">
        <v>0.1</v>
      </c>
      <c r="G20" s="217">
        <v>0.1</v>
      </c>
      <c r="H20" s="217">
        <v>0.1</v>
      </c>
      <c r="I20" s="217">
        <v>0.1</v>
      </c>
      <c r="J20" s="71"/>
      <c r="K20" s="103"/>
    </row>
    <row r="21" spans="2:43" s="2" customFormat="1" ht="20" customHeight="1" x14ac:dyDescent="0.2">
      <c r="B21" t="s">
        <v>125</v>
      </c>
      <c r="C21" s="45" t="s">
        <v>44</v>
      </c>
      <c r="D21" s="219">
        <f>D16*D22</f>
        <v>81.25</v>
      </c>
      <c r="E21" s="219">
        <f t="shared" ref="E21:I21" si="9">E16*E22</f>
        <v>126.5425</v>
      </c>
      <c r="F21" s="219">
        <f t="shared" si="9"/>
        <v>184.04504999999997</v>
      </c>
      <c r="G21" s="219">
        <f t="shared" si="9"/>
        <v>279.45231124999998</v>
      </c>
      <c r="H21" s="219">
        <f t="shared" si="9"/>
        <v>323.44337861500003</v>
      </c>
      <c r="I21" s="219">
        <f t="shared" si="9"/>
        <v>336.14898041095006</v>
      </c>
      <c r="J21" s="103"/>
      <c r="K21" s="103"/>
    </row>
    <row r="22" spans="2:43" s="2" customFormat="1" x14ac:dyDescent="0.2">
      <c r="B22" t="s">
        <v>126</v>
      </c>
      <c r="C22" s="235" t="s">
        <v>42</v>
      </c>
      <c r="D22" s="217">
        <v>0.01</v>
      </c>
      <c r="E22" s="217">
        <v>0.01</v>
      </c>
      <c r="F22" s="217">
        <v>0.01</v>
      </c>
      <c r="G22" s="217">
        <v>0.01</v>
      </c>
      <c r="H22" s="217">
        <v>0.01</v>
      </c>
      <c r="I22" s="217">
        <v>0.01</v>
      </c>
      <c r="J22" s="103"/>
      <c r="K22" s="103"/>
    </row>
    <row r="23" spans="2:43" s="2" customFormat="1" ht="20" customHeight="1" x14ac:dyDescent="0.2">
      <c r="B23" t="s">
        <v>127</v>
      </c>
      <c r="C23" s="45" t="s">
        <v>44</v>
      </c>
      <c r="D23" s="219">
        <f>D24*D16</f>
        <v>162.5</v>
      </c>
      <c r="E23" s="219">
        <f t="shared" ref="E23:I23" si="10">E24*E16</f>
        <v>253.08500000000001</v>
      </c>
      <c r="F23" s="219">
        <f t="shared" si="10"/>
        <v>368.09009999999995</v>
      </c>
      <c r="G23" s="219">
        <f t="shared" si="10"/>
        <v>558.90462249999996</v>
      </c>
      <c r="H23" s="219">
        <f t="shared" si="10"/>
        <v>646.88675723000006</v>
      </c>
      <c r="I23" s="219">
        <f t="shared" si="10"/>
        <v>672.29796082190012</v>
      </c>
      <c r="J23" s="103"/>
      <c r="K23" s="103"/>
    </row>
    <row r="24" spans="2:43" s="2" customFormat="1" x14ac:dyDescent="0.2">
      <c r="B24" s="196" t="s">
        <v>126</v>
      </c>
      <c r="C24" s="236" t="s">
        <v>42</v>
      </c>
      <c r="D24" s="218">
        <v>0.02</v>
      </c>
      <c r="E24" s="218">
        <v>0.02</v>
      </c>
      <c r="F24" s="218">
        <v>0.02</v>
      </c>
      <c r="G24" s="218">
        <v>0.02</v>
      </c>
      <c r="H24" s="218">
        <v>0.02</v>
      </c>
      <c r="I24" s="218">
        <v>0.02</v>
      </c>
      <c r="J24" s="103"/>
      <c r="K24" s="103"/>
    </row>
    <row r="25" spans="2:43" x14ac:dyDescent="0.2">
      <c r="B25" s="53" t="s">
        <v>128</v>
      </c>
      <c r="C25" s="47" t="s">
        <v>44</v>
      </c>
      <c r="D25" s="86">
        <f>SUM(D17,D19,D21,D23)</f>
        <v>993.75</v>
      </c>
      <c r="E25" s="86">
        <f t="shared" ref="E25:I25" si="11">SUM(E17,E19,E21,E23)</f>
        <v>1204.6275000000001</v>
      </c>
      <c r="F25" s="86">
        <f t="shared" si="11"/>
        <v>1459.6351500000001</v>
      </c>
      <c r="G25" s="86">
        <f t="shared" si="11"/>
        <v>1836.6069337500001</v>
      </c>
      <c r="H25" s="86">
        <f t="shared" si="11"/>
        <v>2068.4051358450006</v>
      </c>
      <c r="I25" s="86">
        <f t="shared" si="11"/>
        <v>2216.329441232851</v>
      </c>
      <c r="J25" s="83"/>
      <c r="K25" s="83"/>
      <c r="L25" s="2"/>
      <c r="M25" s="2"/>
      <c r="N25" s="2"/>
      <c r="O25" s="2"/>
    </row>
    <row r="26" spans="2:43" x14ac:dyDescent="0.2">
      <c r="B26" s="53" t="s">
        <v>129</v>
      </c>
      <c r="C26" s="237" t="s">
        <v>42</v>
      </c>
      <c r="D26" s="222">
        <f>D25/D16</f>
        <v>0.12230769230769231</v>
      </c>
      <c r="E26" s="222">
        <f t="shared" ref="E26:I26" si="12">E25/E16</f>
        <v>9.5195487682004074E-2</v>
      </c>
      <c r="F26" s="222">
        <f t="shared" si="12"/>
        <v>7.9308579611350599E-2</v>
      </c>
      <c r="G26" s="222">
        <f t="shared" si="12"/>
        <v>6.5721658394407009E-2</v>
      </c>
      <c r="H26" s="222">
        <f t="shared" si="12"/>
        <v>6.3949527880335977E-2</v>
      </c>
      <c r="I26" s="222">
        <f t="shared" si="12"/>
        <v>6.5932951470604975E-2</v>
      </c>
      <c r="J26" s="83"/>
      <c r="K26" s="83"/>
      <c r="L26" s="2"/>
      <c r="M26" s="2"/>
      <c r="N26" s="2"/>
      <c r="O26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>
                <anchor moveWithCells="1">
                  <from>
                    <xdr:col>1</xdr:col>
                    <xdr:colOff>749300</xdr:colOff>
                    <xdr:row>0</xdr:row>
                    <xdr:rowOff>63500</xdr:rowOff>
                  </from>
                  <to>
                    <xdr:col>1</xdr:col>
                    <xdr:colOff>2044700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Drop Down 2">
              <controlPr defaultSize="0" autoLine="0" autoPict="0">
                <anchor moveWithCells="1">
                  <from>
                    <xdr:col>2</xdr:col>
                    <xdr:colOff>101600</xdr:colOff>
                    <xdr:row>0</xdr:row>
                    <xdr:rowOff>88900</xdr:rowOff>
                  </from>
                  <to>
                    <xdr:col>3</xdr:col>
                    <xdr:colOff>25400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Drop Down 3">
              <controlPr defaultSize="0" autoLine="0" autoPict="0">
                <anchor moveWithCells="1">
                  <from>
                    <xdr:col>1</xdr:col>
                    <xdr:colOff>2070100</xdr:colOff>
                    <xdr:row>0</xdr:row>
                    <xdr:rowOff>88900</xdr:rowOff>
                  </from>
                  <to>
                    <xdr:col>2</xdr:col>
                    <xdr:colOff>63500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4" tint="0.59999389629810485"/>
  </sheetPr>
  <dimension ref="B1:D12"/>
  <sheetViews>
    <sheetView showGridLines="0" zoomScale="76" zoomScaleNormal="120" workbookViewId="0">
      <selection activeCell="D7" sqref="D7"/>
    </sheetView>
  </sheetViews>
  <sheetFormatPr baseColWidth="10" defaultColWidth="8.83203125" defaultRowHeight="16" x14ac:dyDescent="0.2"/>
  <cols>
    <col min="1" max="1" width="2.83203125" customWidth="1"/>
    <col min="2" max="2" width="40.83203125" customWidth="1"/>
    <col min="3" max="5" width="10.83203125" customWidth="1"/>
  </cols>
  <sheetData>
    <row r="1" spans="2:4" ht="41" customHeight="1" x14ac:dyDescent="0.2"/>
    <row r="2" spans="2:4" ht="20" customHeight="1" x14ac:dyDescent="0.2"/>
    <row r="3" spans="2:4" ht="46" customHeight="1" x14ac:dyDescent="0.2"/>
    <row r="4" spans="2:4" ht="16" customHeight="1" x14ac:dyDescent="0.2"/>
    <row r="5" spans="2:4" ht="20" customHeight="1" x14ac:dyDescent="0.2">
      <c r="B5" s="215"/>
      <c r="C5" s="169" t="s">
        <v>80</v>
      </c>
      <c r="D5" s="169" t="s">
        <v>91</v>
      </c>
    </row>
    <row r="6" spans="2:4" ht="20" customHeight="1" x14ac:dyDescent="0.2">
      <c r="B6" t="s">
        <v>130</v>
      </c>
      <c r="C6" s="45" t="s">
        <v>44</v>
      </c>
      <c r="D6" s="83">
        <v>150</v>
      </c>
    </row>
    <row r="7" spans="2:4" ht="18" customHeight="1" x14ac:dyDescent="0.2">
      <c r="B7" t="s">
        <v>131</v>
      </c>
      <c r="C7" s="45" t="s">
        <v>132</v>
      </c>
      <c r="D7" s="83">
        <v>5</v>
      </c>
    </row>
    <row r="8" spans="2:4" ht="18" customHeight="1" thickBot="1" x14ac:dyDescent="0.25">
      <c r="B8" s="194" t="s">
        <v>133</v>
      </c>
      <c r="C8" s="231" t="s">
        <v>44</v>
      </c>
      <c r="D8" s="210">
        <f>D6/D7</f>
        <v>30</v>
      </c>
    </row>
    <row r="9" spans="2:4" ht="18" customHeight="1" x14ac:dyDescent="0.2">
      <c r="C9" s="8"/>
      <c r="D9" s="83"/>
    </row>
    <row r="10" spans="2:4" ht="18" customHeight="1" x14ac:dyDescent="0.2">
      <c r="C10" s="8"/>
    </row>
    <row r="11" spans="2:4" ht="18" customHeight="1" x14ac:dyDescent="0.2">
      <c r="C11" s="8"/>
    </row>
    <row r="12" spans="2:4" x14ac:dyDescent="0.2">
      <c r="C12" s="8"/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0">
    <tabColor theme="4" tint="0.59999389629810485"/>
  </sheetPr>
  <dimension ref="A1:L70"/>
  <sheetViews>
    <sheetView showGridLines="0" zoomScale="80" zoomScaleNormal="80" workbookViewId="0">
      <pane xSplit="3" ySplit="1" topLeftCell="D46" activePane="bottomRight" state="frozenSplit"/>
      <selection pane="topRight" activeCell="J1" sqref="J1"/>
      <selection pane="bottomLeft" activeCell="A5" sqref="A5"/>
      <selection pane="bottomRight" activeCell="D61" sqref="D61"/>
    </sheetView>
  </sheetViews>
  <sheetFormatPr baseColWidth="10" defaultColWidth="11.1640625" defaultRowHeight="16" x14ac:dyDescent="0.2"/>
  <cols>
    <col min="1" max="1" width="3" customWidth="1"/>
    <col min="2" max="2" width="40.6640625" customWidth="1"/>
    <col min="3" max="3" width="16" style="8" customWidth="1"/>
    <col min="4" max="10" width="10.83203125" customWidth="1"/>
  </cols>
  <sheetData>
    <row r="1" spans="2:10" ht="39" customHeight="1" x14ac:dyDescent="0.2">
      <c r="D1" s="54">
        <f>D12</f>
        <v>2024</v>
      </c>
      <c r="E1" s="54">
        <f t="shared" ref="E1:J1" si="0">E12</f>
        <v>2025</v>
      </c>
      <c r="F1" s="54">
        <f t="shared" si="0"/>
        <v>2026</v>
      </c>
      <c r="G1" s="54">
        <f t="shared" si="0"/>
        <v>2027</v>
      </c>
      <c r="H1" s="54">
        <f t="shared" si="0"/>
        <v>2028</v>
      </c>
      <c r="I1" s="54">
        <f t="shared" si="0"/>
        <v>2029</v>
      </c>
      <c r="J1" s="54">
        <f t="shared" si="0"/>
        <v>0</v>
      </c>
    </row>
    <row r="8" spans="2:10" x14ac:dyDescent="0.2">
      <c r="E8" s="55"/>
      <c r="F8" s="55"/>
      <c r="G8" s="55"/>
      <c r="H8" s="55"/>
      <c r="I8" s="55"/>
    </row>
    <row r="9" spans="2:10" x14ac:dyDescent="0.2">
      <c r="E9" s="55"/>
      <c r="F9" s="55"/>
      <c r="G9" s="55"/>
      <c r="H9" s="55"/>
      <c r="I9" s="55"/>
    </row>
    <row r="10" spans="2:10" x14ac:dyDescent="0.2">
      <c r="E10" s="55"/>
      <c r="F10" s="55"/>
      <c r="G10" s="55"/>
      <c r="H10" s="55"/>
      <c r="I10" s="55"/>
    </row>
    <row r="11" spans="2:10" ht="20" customHeight="1" x14ac:dyDescent="0.2">
      <c r="B11" t="s">
        <v>134</v>
      </c>
      <c r="C11" s="8" t="s">
        <v>135</v>
      </c>
      <c r="D11" s="178">
        <v>10</v>
      </c>
      <c r="E11" t="s">
        <v>295</v>
      </c>
      <c r="F11" s="124"/>
      <c r="G11" s="55"/>
      <c r="H11" s="55"/>
      <c r="I11" s="55"/>
    </row>
    <row r="12" spans="2:10" ht="19" customHeight="1" x14ac:dyDescent="0.2">
      <c r="B12" s="224"/>
      <c r="C12" s="169" t="s">
        <v>80</v>
      </c>
      <c r="D12" s="169">
        <v>2024</v>
      </c>
      <c r="E12" s="169">
        <v>2025</v>
      </c>
      <c r="F12" s="169">
        <v>2026</v>
      </c>
      <c r="G12" s="169">
        <v>2027</v>
      </c>
      <c r="H12" s="169">
        <v>2028</v>
      </c>
      <c r="I12" s="169">
        <v>2029</v>
      </c>
      <c r="J12" s="305"/>
    </row>
    <row r="13" spans="2:10" ht="20" customHeight="1" x14ac:dyDescent="0.2">
      <c r="B13" t="s">
        <v>136</v>
      </c>
      <c r="C13" s="45" t="s">
        <v>44</v>
      </c>
      <c r="D13" s="90">
        <f>$D$11/365*Revenue!D17</f>
        <v>222.60273972602738</v>
      </c>
      <c r="E13" s="90">
        <f>$D$11/365*Revenue!E17</f>
        <v>346.6917808219178</v>
      </c>
      <c r="F13" s="90">
        <f>$D$11/365*Revenue!F17</f>
        <v>504.23301369863003</v>
      </c>
      <c r="G13" s="90">
        <f>$D$11/365*Revenue!G17</f>
        <v>765.62277054794515</v>
      </c>
      <c r="H13" s="90">
        <f>$D$11/365*Revenue!H17</f>
        <v>886.14624278082192</v>
      </c>
      <c r="I13" s="90">
        <f>$D$11/365*Revenue!I17</f>
        <v>920.95611071493147</v>
      </c>
      <c r="J13" s="338"/>
    </row>
    <row r="14" spans="2:10" x14ac:dyDescent="0.2">
      <c r="E14" s="9"/>
      <c r="F14" s="9"/>
      <c r="G14" s="9"/>
      <c r="H14" s="9"/>
      <c r="I14" s="9"/>
    </row>
    <row r="19" spans="2:12" x14ac:dyDescent="0.2">
      <c r="B19" t="s">
        <v>134</v>
      </c>
      <c r="C19" s="8" t="s">
        <v>137</v>
      </c>
      <c r="E19" s="53">
        <v>1</v>
      </c>
      <c r="F19" s="8" t="s">
        <v>138</v>
      </c>
    </row>
    <row r="20" spans="2:12" x14ac:dyDescent="0.2">
      <c r="B20" t="s">
        <v>139</v>
      </c>
      <c r="C20" s="8" t="s">
        <v>140</v>
      </c>
      <c r="E20" s="87">
        <v>0.1</v>
      </c>
    </row>
    <row r="21" spans="2:12" ht="20" customHeight="1" x14ac:dyDescent="0.2">
      <c r="B21" s="224"/>
      <c r="C21" s="47" t="s">
        <v>80</v>
      </c>
      <c r="D21" s="169">
        <v>2024</v>
      </c>
      <c r="E21" s="169">
        <v>2025</v>
      </c>
      <c r="F21" s="169">
        <v>2026</v>
      </c>
      <c r="G21" s="169">
        <v>2027</v>
      </c>
      <c r="H21" s="169">
        <v>2028</v>
      </c>
      <c r="I21" s="169">
        <v>2029</v>
      </c>
      <c r="J21" s="169">
        <v>2030</v>
      </c>
    </row>
    <row r="22" spans="2:12" ht="20" customHeight="1" x14ac:dyDescent="0.2">
      <c r="B22" t="s">
        <v>141</v>
      </c>
      <c r="C22" s="45" t="s">
        <v>44</v>
      </c>
      <c r="D22" s="83"/>
      <c r="E22" s="83">
        <f>Fuel!D31</f>
        <v>508.2</v>
      </c>
      <c r="F22" s="83">
        <f>Fuel!E31</f>
        <v>891.25575000000015</v>
      </c>
      <c r="G22" s="83">
        <f>Fuel!F31</f>
        <v>1445.0031749999998</v>
      </c>
      <c r="H22" s="83">
        <f>Fuel!G31</f>
        <v>2434.6623262499998</v>
      </c>
      <c r="I22" s="83">
        <f>Fuel!H31</f>
        <v>3110.9574168749991</v>
      </c>
      <c r="J22" s="83">
        <f>Fuel!I31</f>
        <v>3577.6010294062494</v>
      </c>
      <c r="K22" s="83"/>
      <c r="L22" s="159"/>
    </row>
    <row r="23" spans="2:12" ht="18" customHeight="1" thickBot="1" x14ac:dyDescent="0.25">
      <c r="B23" s="199" t="s">
        <v>142</v>
      </c>
      <c r="C23" s="225" t="s">
        <v>44</v>
      </c>
      <c r="D23" s="247"/>
      <c r="E23" s="247">
        <f>E22*$E$19/12</f>
        <v>42.35</v>
      </c>
      <c r="F23" s="247">
        <f t="shared" ref="F23:I23" si="1">F22*$E$19/12</f>
        <v>74.271312500000008</v>
      </c>
      <c r="G23" s="247">
        <f t="shared" si="1"/>
        <v>120.41693124999999</v>
      </c>
      <c r="H23" s="247">
        <f t="shared" si="1"/>
        <v>202.88852718749999</v>
      </c>
      <c r="I23" s="247">
        <f t="shared" si="1"/>
        <v>259.24645140624995</v>
      </c>
      <c r="J23" s="71"/>
      <c r="K23" s="83"/>
      <c r="L23" s="159"/>
    </row>
    <row r="24" spans="2:12" ht="20" customHeight="1" x14ac:dyDescent="0.2">
      <c r="B24" s="335" t="s">
        <v>143</v>
      </c>
      <c r="C24" s="336" t="s">
        <v>44</v>
      </c>
      <c r="D24" s="337">
        <f>$E$20*E22</f>
        <v>50.82</v>
      </c>
      <c r="E24" s="337">
        <f t="shared" ref="E24:H24" si="2">$E$20*F22</f>
        <v>89.125575000000026</v>
      </c>
      <c r="F24" s="337">
        <f t="shared" si="2"/>
        <v>144.50031749999999</v>
      </c>
      <c r="G24" s="337">
        <f t="shared" si="2"/>
        <v>243.46623262499998</v>
      </c>
      <c r="H24" s="337">
        <f t="shared" si="2"/>
        <v>311.09574168749992</v>
      </c>
      <c r="I24" s="337">
        <f>$E$20*J22</f>
        <v>357.76010294062496</v>
      </c>
      <c r="J24" s="71"/>
      <c r="K24" s="83"/>
      <c r="L24" s="159"/>
    </row>
    <row r="25" spans="2:12" x14ac:dyDescent="0.2">
      <c r="D25" s="83"/>
      <c r="E25" s="83"/>
      <c r="F25" s="83"/>
      <c r="G25" s="83"/>
      <c r="H25" s="83"/>
      <c r="I25" s="83"/>
      <c r="J25" s="71"/>
      <c r="K25" s="83"/>
      <c r="L25" s="159"/>
    </row>
    <row r="26" spans="2:12" x14ac:dyDescent="0.2">
      <c r="D26" s="83"/>
      <c r="E26" s="83"/>
      <c r="F26" s="83"/>
      <c r="G26" s="83"/>
      <c r="H26" s="83"/>
      <c r="I26" s="83"/>
      <c r="J26" s="83"/>
      <c r="K26" s="83"/>
      <c r="L26" s="159"/>
    </row>
    <row r="27" spans="2:12" x14ac:dyDescent="0.2">
      <c r="D27" s="83"/>
      <c r="E27" s="83"/>
      <c r="F27" s="83"/>
      <c r="G27" s="83"/>
      <c r="H27" s="83"/>
      <c r="I27" s="83"/>
      <c r="J27" s="83"/>
      <c r="K27" s="83"/>
      <c r="L27" s="159"/>
    </row>
    <row r="30" spans="2:12" x14ac:dyDescent="0.2">
      <c r="B30" t="s">
        <v>144</v>
      </c>
      <c r="C30" s="8" t="s">
        <v>145</v>
      </c>
      <c r="E30" s="53">
        <v>4</v>
      </c>
      <c r="F30" s="8" t="s">
        <v>146</v>
      </c>
    </row>
    <row r="31" spans="2:12" x14ac:dyDescent="0.2">
      <c r="B31" s="215"/>
      <c r="C31" s="47" t="s">
        <v>80</v>
      </c>
      <c r="D31" s="169">
        <v>2024</v>
      </c>
      <c r="E31" s="169">
        <v>2025</v>
      </c>
      <c r="F31" s="169">
        <v>2026</v>
      </c>
      <c r="G31" s="169">
        <v>2027</v>
      </c>
      <c r="H31" s="169">
        <v>2028</v>
      </c>
      <c r="I31" s="169">
        <v>2029</v>
      </c>
      <c r="J31" s="169">
        <v>2030</v>
      </c>
    </row>
    <row r="32" spans="2:12" ht="20" customHeight="1" x14ac:dyDescent="0.2">
      <c r="B32" s="57" t="s">
        <v>147</v>
      </c>
      <c r="C32" s="45" t="s">
        <v>44</v>
      </c>
      <c r="D32" s="37"/>
      <c r="E32" s="179">
        <f>Leasing!D21</f>
        <v>2100</v>
      </c>
      <c r="F32" s="179">
        <f>Leasing!E21</f>
        <v>4200</v>
      </c>
      <c r="G32" s="179">
        <f>Leasing!F21</f>
        <v>5250</v>
      </c>
      <c r="H32" s="179">
        <f>Leasing!G21</f>
        <v>7350</v>
      </c>
      <c r="I32" s="179">
        <f>Leasing!H21</f>
        <v>7350</v>
      </c>
      <c r="J32" s="179">
        <f>Leasing!I21</f>
        <v>7350</v>
      </c>
    </row>
    <row r="33" spans="1:12" ht="18" customHeight="1" x14ac:dyDescent="0.2">
      <c r="B33" s="1" t="s">
        <v>148</v>
      </c>
      <c r="C33" s="45" t="s">
        <v>44</v>
      </c>
      <c r="D33" s="85">
        <f>E32/12*$E$30</f>
        <v>700</v>
      </c>
      <c r="E33" s="85">
        <f t="shared" ref="E33:I33" si="3">F32/12*$E$30</f>
        <v>1400</v>
      </c>
      <c r="F33" s="85">
        <f t="shared" si="3"/>
        <v>1750</v>
      </c>
      <c r="G33" s="85">
        <f t="shared" si="3"/>
        <v>2450</v>
      </c>
      <c r="H33" s="85">
        <f t="shared" si="3"/>
        <v>2450</v>
      </c>
      <c r="I33" s="85">
        <f t="shared" si="3"/>
        <v>2450</v>
      </c>
      <c r="J33" s="71"/>
    </row>
    <row r="34" spans="1:12" x14ac:dyDescent="0.2">
      <c r="D34" s="83"/>
      <c r="E34" s="83"/>
      <c r="F34" s="83"/>
      <c r="G34" s="83"/>
      <c r="H34" s="83"/>
      <c r="I34" s="83"/>
      <c r="J34" s="83"/>
    </row>
    <row r="35" spans="1:12" x14ac:dyDescent="0.2">
      <c r="D35" s="83"/>
      <c r="E35" s="83"/>
      <c r="F35" s="83"/>
      <c r="G35" s="83"/>
      <c r="H35" s="83"/>
      <c r="I35" s="83"/>
      <c r="J35" s="83"/>
      <c r="K35" s="83"/>
      <c r="L35" s="159"/>
    </row>
    <row r="36" spans="1:12" x14ac:dyDescent="0.2">
      <c r="D36" s="83"/>
      <c r="E36" s="83"/>
      <c r="F36" s="83"/>
      <c r="G36" s="83"/>
      <c r="H36" s="83"/>
      <c r="I36" s="83"/>
      <c r="J36" s="83"/>
      <c r="K36" s="83"/>
      <c r="L36" s="159"/>
    </row>
    <row r="37" spans="1:12" x14ac:dyDescent="0.2">
      <c r="D37" s="83"/>
      <c r="E37" s="83"/>
      <c r="F37" s="83"/>
      <c r="G37" s="83"/>
      <c r="H37" s="83"/>
      <c r="I37" s="83"/>
      <c r="J37" s="83"/>
      <c r="K37" s="83"/>
      <c r="L37" s="159"/>
    </row>
    <row r="38" spans="1:12" x14ac:dyDescent="0.2">
      <c r="D38" s="83"/>
      <c r="E38" s="83"/>
      <c r="F38" s="83"/>
      <c r="G38" s="83"/>
      <c r="H38" s="83"/>
      <c r="I38" s="83"/>
      <c r="J38" s="83"/>
      <c r="K38" s="83"/>
      <c r="L38" s="159"/>
    </row>
    <row r="39" spans="1:12" x14ac:dyDescent="0.2">
      <c r="B39" t="s">
        <v>149</v>
      </c>
      <c r="C39" s="8" t="s">
        <v>150</v>
      </c>
      <c r="E39" s="53">
        <v>1</v>
      </c>
      <c r="G39" s="83"/>
      <c r="H39" s="83"/>
      <c r="I39" s="83"/>
      <c r="J39" s="83"/>
      <c r="K39" s="83"/>
      <c r="L39" s="159"/>
    </row>
    <row r="40" spans="1:12" x14ac:dyDescent="0.2">
      <c r="B40" s="215"/>
      <c r="C40" s="47" t="s">
        <v>80</v>
      </c>
      <c r="D40" s="169">
        <v>2024</v>
      </c>
      <c r="E40" s="169">
        <v>2025</v>
      </c>
      <c r="F40" s="169">
        <v>2026</v>
      </c>
      <c r="G40" s="169">
        <v>2027</v>
      </c>
      <c r="H40" s="169">
        <v>2028</v>
      </c>
      <c r="I40" s="169">
        <v>2029</v>
      </c>
      <c r="J40" s="305"/>
      <c r="K40" s="83"/>
      <c r="L40" s="159"/>
    </row>
    <row r="41" spans="1:12" ht="19" customHeight="1" x14ac:dyDescent="0.2">
      <c r="B41" s="57" t="s">
        <v>118</v>
      </c>
      <c r="C41" s="45" t="s">
        <v>44</v>
      </c>
      <c r="D41" s="179"/>
      <c r="E41" s="179">
        <f>'Tech &amp; Other costs'!D9</f>
        <v>1500</v>
      </c>
      <c r="F41" s="179">
        <f>'Tech &amp; Other costs'!E9</f>
        <v>2401.875</v>
      </c>
      <c r="G41" s="179">
        <f>'Tech &amp; Other costs'!F9</f>
        <v>3555.5625</v>
      </c>
      <c r="H41" s="179">
        <f>'Tech &amp; Other costs'!G9</f>
        <v>5469.7781249999998</v>
      </c>
      <c r="I41" s="179">
        <f>'Tech &amp; Other costs'!H9</f>
        <v>6381.4078124999996</v>
      </c>
      <c r="J41" s="305"/>
      <c r="K41" s="83"/>
      <c r="L41" s="159"/>
    </row>
    <row r="42" spans="1:12" ht="18" customHeight="1" thickBot="1" x14ac:dyDescent="0.25">
      <c r="B42" s="267" t="s">
        <v>151</v>
      </c>
      <c r="C42" s="225" t="s">
        <v>44</v>
      </c>
      <c r="D42" s="268"/>
      <c r="E42" s="268">
        <f>E41/12</f>
        <v>125</v>
      </c>
      <c r="F42" s="268">
        <f t="shared" ref="F42:I42" si="4">F41/12</f>
        <v>200.15625</v>
      </c>
      <c r="G42" s="268">
        <f t="shared" si="4"/>
        <v>296.296875</v>
      </c>
      <c r="H42" s="268">
        <f t="shared" si="4"/>
        <v>455.81484374999997</v>
      </c>
      <c r="I42" s="268">
        <f t="shared" si="4"/>
        <v>531.78398437499993</v>
      </c>
      <c r="J42" s="305"/>
      <c r="K42" s="83"/>
      <c r="L42" s="159"/>
    </row>
    <row r="43" spans="1:12" x14ac:dyDescent="0.2">
      <c r="B43" s="57"/>
      <c r="C43" s="36"/>
      <c r="D43" s="179"/>
      <c r="E43" s="179"/>
      <c r="F43" s="179"/>
      <c r="G43" s="179"/>
      <c r="H43" s="179"/>
      <c r="I43" s="179"/>
      <c r="J43" s="305"/>
      <c r="K43" s="159"/>
      <c r="L43" s="159"/>
    </row>
    <row r="45" spans="1:12" s="2" customFormat="1" ht="34" customHeight="1" x14ac:dyDescent="0.2">
      <c r="C45" s="161"/>
    </row>
    <row r="47" spans="1:12" x14ac:dyDescent="0.2">
      <c r="A47" s="2"/>
      <c r="D47" s="83"/>
      <c r="E47" s="83"/>
      <c r="F47" s="83"/>
      <c r="G47" s="83"/>
      <c r="H47" s="83"/>
      <c r="I47" s="83"/>
      <c r="J47" s="83"/>
    </row>
    <row r="48" spans="1:12" x14ac:dyDescent="0.2">
      <c r="A48" s="2"/>
      <c r="I48" s="83"/>
      <c r="J48" s="83"/>
    </row>
    <row r="49" spans="2:11" ht="21" customHeight="1" x14ac:dyDescent="0.2">
      <c r="D49" s="83"/>
      <c r="E49" s="83"/>
      <c r="F49" s="83"/>
      <c r="G49" s="83"/>
      <c r="H49" s="83"/>
      <c r="I49" s="83"/>
      <c r="J49" s="83"/>
    </row>
    <row r="50" spans="2:11" s="2" customFormat="1" ht="20" customHeight="1" x14ac:dyDescent="0.2">
      <c r="B50" s="184"/>
      <c r="C50" s="181" t="s">
        <v>80</v>
      </c>
      <c r="D50" s="181">
        <v>2024</v>
      </c>
      <c r="E50" s="181">
        <v>2025</v>
      </c>
      <c r="F50" s="181">
        <v>2026</v>
      </c>
      <c r="G50" s="181">
        <v>2027</v>
      </c>
      <c r="H50" s="181">
        <v>2028</v>
      </c>
      <c r="I50" s="181">
        <v>2029</v>
      </c>
      <c r="J50" s="83"/>
    </row>
    <row r="51" spans="2:11" ht="20" customHeight="1" x14ac:dyDescent="0.2">
      <c r="B51" t="s">
        <v>152</v>
      </c>
      <c r="C51" s="45" t="s">
        <v>44</v>
      </c>
      <c r="D51" s="83">
        <f>D13</f>
        <v>222.60273972602738</v>
      </c>
      <c r="E51" s="83">
        <f t="shared" ref="E51:I51" si="5">E13</f>
        <v>346.6917808219178</v>
      </c>
      <c r="F51" s="83">
        <f t="shared" si="5"/>
        <v>504.23301369863003</v>
      </c>
      <c r="G51" s="83">
        <f t="shared" si="5"/>
        <v>765.62277054794515</v>
      </c>
      <c r="H51" s="83">
        <f t="shared" si="5"/>
        <v>886.14624278082192</v>
      </c>
      <c r="I51" s="83">
        <f t="shared" si="5"/>
        <v>920.95611071493147</v>
      </c>
      <c r="J51" s="83"/>
      <c r="K51" s="83"/>
    </row>
    <row r="52" spans="2:11" ht="20" customHeight="1" x14ac:dyDescent="0.2">
      <c r="B52" t="s">
        <v>153</v>
      </c>
      <c r="C52" s="45"/>
      <c r="D52" s="83">
        <f>D23</f>
        <v>0</v>
      </c>
      <c r="E52" s="83">
        <f t="shared" ref="E52:I52" si="6">E23</f>
        <v>42.35</v>
      </c>
      <c r="F52" s="83">
        <f t="shared" si="6"/>
        <v>74.271312500000008</v>
      </c>
      <c r="G52" s="83">
        <f t="shared" si="6"/>
        <v>120.41693124999999</v>
      </c>
      <c r="H52" s="83">
        <f t="shared" si="6"/>
        <v>202.88852718749999</v>
      </c>
      <c r="I52" s="83">
        <f t="shared" si="6"/>
        <v>259.24645140624995</v>
      </c>
      <c r="J52" s="83"/>
      <c r="K52" s="83"/>
    </row>
    <row r="53" spans="2:11" ht="20" customHeight="1" x14ac:dyDescent="0.2">
      <c r="B53" t="s">
        <v>154</v>
      </c>
      <c r="C53" s="45"/>
      <c r="D53" s="83">
        <f>D42</f>
        <v>0</v>
      </c>
      <c r="E53" s="83">
        <f t="shared" ref="E53:I53" si="7">E42</f>
        <v>125</v>
      </c>
      <c r="F53" s="83">
        <f t="shared" si="7"/>
        <v>200.15625</v>
      </c>
      <c r="G53" s="83">
        <f t="shared" si="7"/>
        <v>296.296875</v>
      </c>
      <c r="H53" s="83">
        <f t="shared" si="7"/>
        <v>455.81484374999997</v>
      </c>
      <c r="I53" s="83">
        <f t="shared" si="7"/>
        <v>531.78398437499993</v>
      </c>
      <c r="J53" s="83"/>
      <c r="K53" s="83"/>
    </row>
    <row r="54" spans="2:11" ht="20" customHeight="1" x14ac:dyDescent="0.2">
      <c r="B54" s="53" t="s">
        <v>155</v>
      </c>
      <c r="C54" s="47" t="s">
        <v>44</v>
      </c>
      <c r="D54" s="86">
        <f>-SUM(D51:D53)</f>
        <v>-222.60273972602738</v>
      </c>
      <c r="E54" s="86">
        <f t="shared" ref="E54:I54" si="8">-SUM(E51:E53)</f>
        <v>-514.04178082191788</v>
      </c>
      <c r="F54" s="86">
        <f t="shared" si="8"/>
        <v>-778.66057619863</v>
      </c>
      <c r="G54" s="86">
        <f t="shared" si="8"/>
        <v>-1182.3365767979451</v>
      </c>
      <c r="H54" s="86">
        <f t="shared" si="8"/>
        <v>-1544.8496137183217</v>
      </c>
      <c r="I54" s="86">
        <f t="shared" si="8"/>
        <v>-1711.9865464961813</v>
      </c>
      <c r="J54" s="83"/>
      <c r="K54" s="83"/>
    </row>
    <row r="55" spans="2:11" ht="20" customHeight="1" thickBot="1" x14ac:dyDescent="0.25">
      <c r="B55" s="194" t="s">
        <v>296</v>
      </c>
      <c r="C55" s="231" t="s">
        <v>44</v>
      </c>
      <c r="D55" s="210">
        <f>D54</f>
        <v>-222.60273972602738</v>
      </c>
      <c r="E55" s="210">
        <f>E54-D54</f>
        <v>-291.4390410958905</v>
      </c>
      <c r="F55" s="210">
        <f t="shared" ref="F55:I55" si="9">F54-E54</f>
        <v>-264.61879537671211</v>
      </c>
      <c r="G55" s="210">
        <f t="shared" si="9"/>
        <v>-403.6760005993151</v>
      </c>
      <c r="H55" s="210">
        <f t="shared" si="9"/>
        <v>-362.51303692037663</v>
      </c>
      <c r="I55" s="210">
        <f t="shared" si="9"/>
        <v>-167.13693277785956</v>
      </c>
      <c r="J55" s="83"/>
      <c r="K55" s="83"/>
    </row>
    <row r="56" spans="2:11" ht="24" customHeight="1" x14ac:dyDescent="0.2">
      <c r="E56" s="83"/>
      <c r="F56" s="83"/>
      <c r="G56" s="83"/>
      <c r="H56" s="83"/>
      <c r="I56" s="83"/>
      <c r="J56" s="83"/>
      <c r="K56" s="83"/>
    </row>
    <row r="57" spans="2:11" x14ac:dyDescent="0.2">
      <c r="E57" s="83"/>
      <c r="F57" s="83"/>
      <c r="G57" s="83"/>
      <c r="H57" s="83"/>
      <c r="I57" s="83"/>
      <c r="J57" s="83"/>
      <c r="K57" s="83"/>
    </row>
    <row r="58" spans="2:11" x14ac:dyDescent="0.2">
      <c r="B58" s="81"/>
      <c r="C58" s="161"/>
      <c r="E58" s="83"/>
      <c r="F58" s="83"/>
      <c r="G58" s="83"/>
      <c r="H58" s="83"/>
      <c r="I58" s="83"/>
      <c r="J58" s="83"/>
      <c r="K58" s="83"/>
    </row>
    <row r="59" spans="2:11" s="2" customFormat="1" ht="20" customHeight="1" x14ac:dyDescent="0.2">
      <c r="B59" s="184"/>
      <c r="C59" s="181" t="s">
        <v>80</v>
      </c>
      <c r="D59" s="181">
        <v>2024</v>
      </c>
      <c r="E59" s="181">
        <v>2025</v>
      </c>
      <c r="F59" s="181">
        <v>2026</v>
      </c>
      <c r="G59" s="181">
        <v>2027</v>
      </c>
      <c r="H59" s="181">
        <v>2028</v>
      </c>
      <c r="I59" s="181">
        <v>2029</v>
      </c>
      <c r="J59" s="83"/>
    </row>
    <row r="60" spans="2:11" ht="20" customHeight="1" x14ac:dyDescent="0.2">
      <c r="B60" t="s">
        <v>156</v>
      </c>
      <c r="C60" s="45" t="s">
        <v>44</v>
      </c>
      <c r="D60" s="83">
        <f>D24</f>
        <v>50.82</v>
      </c>
      <c r="E60" s="83">
        <f t="shared" ref="E60:I60" si="10">E24</f>
        <v>89.125575000000026</v>
      </c>
      <c r="F60" s="83">
        <f t="shared" si="10"/>
        <v>144.50031749999999</v>
      </c>
      <c r="G60" s="83">
        <f t="shared" si="10"/>
        <v>243.46623262499998</v>
      </c>
      <c r="H60" s="83">
        <f t="shared" si="10"/>
        <v>311.09574168749992</v>
      </c>
      <c r="I60" s="83">
        <f t="shared" si="10"/>
        <v>357.76010294062496</v>
      </c>
      <c r="J60" s="83"/>
      <c r="K60" s="83"/>
    </row>
    <row r="61" spans="2:11" ht="19" customHeight="1" x14ac:dyDescent="0.2">
      <c r="B61" t="s">
        <v>157</v>
      </c>
      <c r="C61" s="45"/>
      <c r="D61" s="83">
        <f>D33</f>
        <v>700</v>
      </c>
      <c r="E61" s="83">
        <f t="shared" ref="E61:I61" si="11">E33</f>
        <v>1400</v>
      </c>
      <c r="F61" s="83">
        <f t="shared" si="11"/>
        <v>1750</v>
      </c>
      <c r="G61" s="83">
        <f t="shared" si="11"/>
        <v>2450</v>
      </c>
      <c r="H61" s="83">
        <f t="shared" si="11"/>
        <v>2450</v>
      </c>
      <c r="I61" s="83">
        <f t="shared" si="11"/>
        <v>2450</v>
      </c>
      <c r="J61" s="83"/>
      <c r="K61" s="83"/>
    </row>
    <row r="62" spans="2:11" ht="19" customHeight="1" x14ac:dyDescent="0.2">
      <c r="B62" s="53" t="s">
        <v>158</v>
      </c>
      <c r="C62" s="47" t="s">
        <v>44</v>
      </c>
      <c r="D62" s="123">
        <f>SUM(D60:D61)</f>
        <v>750.82</v>
      </c>
      <c r="E62" s="123">
        <f t="shared" ref="E62:I62" si="12">SUM(E60:E61)</f>
        <v>1489.125575</v>
      </c>
      <c r="F62" s="123">
        <f t="shared" si="12"/>
        <v>1894.5003174999999</v>
      </c>
      <c r="G62" s="123">
        <f t="shared" si="12"/>
        <v>2693.466232625</v>
      </c>
      <c r="H62" s="123">
        <f t="shared" si="12"/>
        <v>2761.0957416874999</v>
      </c>
      <c r="I62" s="123">
        <f t="shared" si="12"/>
        <v>2807.7601029406251</v>
      </c>
      <c r="J62" s="262"/>
      <c r="K62" s="83"/>
    </row>
    <row r="63" spans="2:11" ht="18" customHeight="1" thickBot="1" x14ac:dyDescent="0.25">
      <c r="B63" s="194" t="s">
        <v>159</v>
      </c>
      <c r="C63" s="231" t="s">
        <v>44</v>
      </c>
      <c r="D63" s="193"/>
      <c r="E63" s="193">
        <f>-(E62-D62)</f>
        <v>-738.30557499999998</v>
      </c>
      <c r="F63" s="193">
        <f t="shared" ref="F63:I63" si="13">-(F62-E62)</f>
        <v>-405.37474249999991</v>
      </c>
      <c r="G63" s="193">
        <f t="shared" si="13"/>
        <v>-798.96591512500004</v>
      </c>
      <c r="H63" s="193">
        <f t="shared" si="13"/>
        <v>-67.629509062499892</v>
      </c>
      <c r="I63" s="193">
        <f t="shared" si="13"/>
        <v>-46.664361253125207</v>
      </c>
      <c r="J63" s="262"/>
      <c r="K63" s="83"/>
    </row>
    <row r="64" spans="2:11" ht="28" customHeight="1" x14ac:dyDescent="0.2">
      <c r="B64" s="83"/>
      <c r="C64" s="83"/>
      <c r="D64" s="83"/>
      <c r="E64" s="83"/>
      <c r="F64" s="83"/>
      <c r="G64" s="83"/>
      <c r="H64" s="83"/>
      <c r="I64" s="83"/>
      <c r="J64" s="262"/>
    </row>
    <row r="65" spans="4:10" x14ac:dyDescent="0.2">
      <c r="D65" s="83"/>
      <c r="E65" s="83"/>
      <c r="F65" s="83"/>
      <c r="G65" s="83"/>
      <c r="H65" s="83"/>
      <c r="I65" s="83"/>
      <c r="J65" s="262"/>
    </row>
    <row r="66" spans="4:10" x14ac:dyDescent="0.2">
      <c r="D66" s="83"/>
      <c r="E66" s="83"/>
      <c r="F66" s="83"/>
      <c r="G66" s="83"/>
      <c r="H66" s="83"/>
      <c r="I66" s="83"/>
      <c r="J66" s="83"/>
    </row>
    <row r="67" spans="4:10" x14ac:dyDescent="0.2">
      <c r="D67" s="83"/>
      <c r="E67" s="83"/>
      <c r="F67" s="83"/>
      <c r="G67" s="83"/>
      <c r="H67" s="83"/>
      <c r="I67" s="83"/>
      <c r="J67" s="83"/>
    </row>
    <row r="68" spans="4:10" x14ac:dyDescent="0.2">
      <c r="D68" s="83"/>
      <c r="E68" s="83"/>
      <c r="F68" s="83"/>
      <c r="G68" s="83"/>
      <c r="H68" s="83"/>
      <c r="I68" s="83"/>
      <c r="J68" s="83"/>
    </row>
    <row r="69" spans="4:10" x14ac:dyDescent="0.2">
      <c r="D69" s="83"/>
      <c r="E69" s="83"/>
      <c r="F69" s="83"/>
      <c r="G69" s="83"/>
      <c r="H69" s="83"/>
      <c r="I69" s="83"/>
      <c r="J69" s="83"/>
    </row>
    <row r="70" spans="4:10" x14ac:dyDescent="0.2">
      <c r="D70" s="83"/>
      <c r="E70" s="83"/>
      <c r="F70" s="83"/>
      <c r="G70" s="83"/>
      <c r="H70" s="83"/>
      <c r="I70" s="83"/>
      <c r="J70" s="83"/>
    </row>
  </sheetData>
  <phoneticPr fontId="4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0" r:id="rId4" name="Drop Down 12">
              <controlPr defaultSize="0" autoLine="0" autoPict="0">
                <anchor moveWithCells="1">
                  <from>
                    <xdr:col>1</xdr:col>
                    <xdr:colOff>571500</xdr:colOff>
                    <xdr:row>0</xdr:row>
                    <xdr:rowOff>63500</xdr:rowOff>
                  </from>
                  <to>
                    <xdr:col>1</xdr:col>
                    <xdr:colOff>1854200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5" name="Drop Down 13">
              <controlPr defaultSize="0" autoLine="0" autoPict="0">
                <anchor moveWithCells="1">
                  <from>
                    <xdr:col>1</xdr:col>
                    <xdr:colOff>3035300</xdr:colOff>
                    <xdr:row>0</xdr:row>
                    <xdr:rowOff>101600</xdr:rowOff>
                  </from>
                  <to>
                    <xdr:col>2</xdr:col>
                    <xdr:colOff>1054100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6" name="Drop Down 14">
              <controlPr defaultSize="0" autoLine="0" autoPict="0">
                <anchor moveWithCells="1">
                  <from>
                    <xdr:col>1</xdr:col>
                    <xdr:colOff>1892300</xdr:colOff>
                    <xdr:row>0</xdr:row>
                    <xdr:rowOff>88900</xdr:rowOff>
                  </from>
                  <to>
                    <xdr:col>1</xdr:col>
                    <xdr:colOff>2997200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4" tint="0.59999389629810485"/>
  </sheetPr>
  <dimension ref="A1:S56"/>
  <sheetViews>
    <sheetView showGridLines="0" zoomScale="86" zoomScaleNormal="70" workbookViewId="0">
      <pane ySplit="1" topLeftCell="A2" activePane="bottomLeft" state="frozen"/>
      <selection pane="bottomLeft" activeCell="G40" sqref="G40"/>
    </sheetView>
  </sheetViews>
  <sheetFormatPr baseColWidth="10" defaultColWidth="8.83203125" defaultRowHeight="16" x14ac:dyDescent="0.2"/>
  <cols>
    <col min="1" max="1" width="2.83203125" customWidth="1"/>
    <col min="2" max="2" width="40.83203125" customWidth="1"/>
    <col min="3" max="3" width="15.83203125" customWidth="1"/>
    <col min="4" max="6" width="13.6640625" customWidth="1"/>
    <col min="7" max="8" width="10.83203125" customWidth="1"/>
    <col min="9" max="9" width="8.83203125" customWidth="1"/>
  </cols>
  <sheetData>
    <row r="1" spans="1:10" ht="38" customHeight="1" x14ac:dyDescent="0.2">
      <c r="I1" s="2" t="s">
        <v>300</v>
      </c>
    </row>
    <row r="4" spans="1:10" ht="20" customHeight="1" x14ac:dyDescent="0.2">
      <c r="B4" s="2"/>
      <c r="C4" s="2"/>
    </row>
    <row r="5" spans="1:10" ht="20" customHeight="1" x14ac:dyDescent="0.2">
      <c r="A5" t="s">
        <v>305</v>
      </c>
      <c r="B5" s="206" t="s">
        <v>160</v>
      </c>
      <c r="C5" s="169" t="s">
        <v>80</v>
      </c>
      <c r="D5" s="169" t="s">
        <v>161</v>
      </c>
      <c r="E5" s="169" t="s">
        <v>162</v>
      </c>
      <c r="F5" s="169" t="s">
        <v>163</v>
      </c>
      <c r="G5" s="169" t="s">
        <v>86</v>
      </c>
    </row>
    <row r="6" spans="1:10" ht="20" customHeight="1" x14ac:dyDescent="0.2">
      <c r="B6" t="s">
        <v>164</v>
      </c>
      <c r="C6" s="298" t="s">
        <v>165</v>
      </c>
      <c r="D6" s="83">
        <v>50</v>
      </c>
      <c r="E6" s="83"/>
      <c r="F6" s="83"/>
      <c r="G6" s="83">
        <f>SUM(D6:F6)</f>
        <v>50</v>
      </c>
      <c r="H6" s="83"/>
      <c r="I6" s="83"/>
      <c r="J6" s="83"/>
    </row>
    <row r="7" spans="1:10" x14ac:dyDescent="0.2">
      <c r="B7" t="s">
        <v>166</v>
      </c>
      <c r="C7" s="298" t="s">
        <v>44</v>
      </c>
      <c r="D7" s="289">
        <v>300</v>
      </c>
      <c r="E7" s="289"/>
      <c r="F7" s="289"/>
      <c r="G7" s="83">
        <f t="shared" ref="G7:G8" si="0">SUM(D7:F7)</f>
        <v>300</v>
      </c>
      <c r="H7" s="83"/>
      <c r="I7" s="83" t="s">
        <v>302</v>
      </c>
      <c r="J7" s="83"/>
    </row>
    <row r="8" spans="1:10" x14ac:dyDescent="0.2">
      <c r="B8" t="s">
        <v>167</v>
      </c>
      <c r="C8" s="298" t="s">
        <v>44</v>
      </c>
      <c r="D8" s="290">
        <v>350</v>
      </c>
      <c r="E8" s="290">
        <v>300</v>
      </c>
      <c r="F8" s="290"/>
      <c r="G8" s="300">
        <f t="shared" si="0"/>
        <v>650</v>
      </c>
      <c r="H8" s="83"/>
      <c r="I8" s="83"/>
      <c r="J8" s="83"/>
    </row>
    <row r="9" spans="1:10" ht="20" customHeight="1" x14ac:dyDescent="0.2">
      <c r="B9" s="53" t="s">
        <v>168</v>
      </c>
      <c r="C9" s="223" t="s">
        <v>44</v>
      </c>
      <c r="D9" s="291">
        <f>SUM(D6:D8)</f>
        <v>700</v>
      </c>
      <c r="E9" s="291">
        <f t="shared" ref="E9:F9" si="1">SUM(E6:E8)</f>
        <v>300</v>
      </c>
      <c r="F9" s="291">
        <f t="shared" si="1"/>
        <v>0</v>
      </c>
      <c r="G9" s="291">
        <f>SUM(G6:G8)</f>
        <v>1000</v>
      </c>
      <c r="H9" s="83"/>
      <c r="I9" s="83"/>
      <c r="J9" s="83"/>
    </row>
    <row r="10" spans="1:10" ht="20" customHeight="1" x14ac:dyDescent="0.2">
      <c r="B10" t="s">
        <v>169</v>
      </c>
      <c r="C10" s="45" t="s">
        <v>54</v>
      </c>
      <c r="D10" s="289">
        <v>100</v>
      </c>
      <c r="E10" s="289">
        <v>100</v>
      </c>
      <c r="F10" s="289">
        <v>100</v>
      </c>
      <c r="G10" s="289">
        <v>100</v>
      </c>
      <c r="H10" s="83"/>
      <c r="I10" s="83"/>
      <c r="J10" s="83"/>
    </row>
    <row r="11" spans="1:10" ht="20" customHeight="1" x14ac:dyDescent="0.2">
      <c r="B11" s="53" t="s">
        <v>170</v>
      </c>
      <c r="C11" s="47" t="s">
        <v>171</v>
      </c>
      <c r="D11" s="291">
        <f>D9*1000/$G$10</f>
        <v>7000</v>
      </c>
      <c r="E11" s="291">
        <f>E9*1000/$G$10</f>
        <v>3000</v>
      </c>
      <c r="F11" s="291">
        <f>F9*1000/$G$10</f>
        <v>0</v>
      </c>
      <c r="G11" s="291">
        <v>10000</v>
      </c>
      <c r="H11" s="83"/>
      <c r="J11" s="83"/>
    </row>
    <row r="12" spans="1:10" ht="20" customHeight="1" thickBot="1" x14ac:dyDescent="0.25">
      <c r="B12" s="194" t="s">
        <v>172</v>
      </c>
      <c r="C12" s="231" t="s">
        <v>42</v>
      </c>
      <c r="D12" s="292">
        <f>D11/$G$11</f>
        <v>0.7</v>
      </c>
      <c r="E12" s="292">
        <f>E11/$G$11</f>
        <v>0.3</v>
      </c>
      <c r="F12" s="292">
        <f>F11/$G$11</f>
        <v>0</v>
      </c>
      <c r="G12" s="292">
        <f>G11/$G$11</f>
        <v>1</v>
      </c>
      <c r="J12" s="83"/>
    </row>
    <row r="13" spans="1:10" ht="20" customHeight="1" x14ac:dyDescent="0.2">
      <c r="D13" s="293"/>
      <c r="E13" s="293"/>
      <c r="F13" s="293"/>
      <c r="G13" s="293"/>
      <c r="J13" s="83"/>
    </row>
    <row r="14" spans="1:10" ht="20" customHeight="1" x14ac:dyDescent="0.2">
      <c r="B14" s="312" t="s">
        <v>173</v>
      </c>
      <c r="C14" s="270">
        <v>5000000</v>
      </c>
      <c r="D14" s="53" t="s">
        <v>174</v>
      </c>
      <c r="E14" s="312"/>
      <c r="F14" s="53"/>
      <c r="G14" s="311">
        <f>C14-G8*1000</f>
        <v>4350000</v>
      </c>
      <c r="J14" s="83"/>
    </row>
    <row r="15" spans="1:10" ht="20" customHeight="1" x14ac:dyDescent="0.2">
      <c r="D15" s="293"/>
      <c r="E15" s="293"/>
      <c r="F15" s="293"/>
      <c r="G15" s="293"/>
      <c r="J15" s="83"/>
    </row>
    <row r="16" spans="1:10" ht="20" customHeight="1" x14ac:dyDescent="0.2">
      <c r="A16" t="s">
        <v>305</v>
      </c>
      <c r="B16" s="206" t="s">
        <v>175</v>
      </c>
      <c r="C16" s="169" t="s">
        <v>80</v>
      </c>
      <c r="D16" s="299" t="str">
        <f>D5</f>
        <v>Mrs A</v>
      </c>
      <c r="E16" s="299" t="str">
        <f t="shared" ref="E16:F16" si="2">E5</f>
        <v>Mr B</v>
      </c>
      <c r="F16" s="299" t="str">
        <f t="shared" si="2"/>
        <v>Invest. Fd</v>
      </c>
      <c r="G16" s="299" t="s">
        <v>86</v>
      </c>
      <c r="H16" s="5"/>
      <c r="I16" s="5"/>
      <c r="J16" s="83"/>
    </row>
    <row r="17" spans="1:19" ht="20" customHeight="1" x14ac:dyDescent="0.2">
      <c r="B17" t="s">
        <v>176</v>
      </c>
      <c r="C17" s="45" t="s">
        <v>44</v>
      </c>
      <c r="D17" s="289"/>
      <c r="E17" s="289"/>
      <c r="F17" s="289">
        <f>F18*F20/1000</f>
        <v>1800</v>
      </c>
      <c r="G17" s="294">
        <f>SUM(D17:F17)</f>
        <v>1800</v>
      </c>
      <c r="H17" s="5"/>
      <c r="I17" s="5"/>
      <c r="J17" s="83"/>
    </row>
    <row r="18" spans="1:19" ht="18" customHeight="1" x14ac:dyDescent="0.2">
      <c r="B18" t="s">
        <v>177</v>
      </c>
      <c r="C18" s="45" t="s">
        <v>54</v>
      </c>
      <c r="F18">
        <v>180</v>
      </c>
      <c r="G18" s="294">
        <f>SUM(D18:F18)</f>
        <v>180</v>
      </c>
      <c r="H18" s="5"/>
      <c r="I18" s="5"/>
      <c r="J18" s="83"/>
    </row>
    <row r="19" spans="1:19" ht="18" customHeight="1" x14ac:dyDescent="0.2">
      <c r="B19" t="s">
        <v>178</v>
      </c>
      <c r="C19" s="45" t="s">
        <v>54</v>
      </c>
      <c r="F19" s="347">
        <f>(F18-G10)*10000</f>
        <v>800000</v>
      </c>
      <c r="G19" s="294">
        <f>SUM(D19:F19)</f>
        <v>800000</v>
      </c>
      <c r="H19" s="5"/>
      <c r="I19" s="348" t="s">
        <v>308</v>
      </c>
      <c r="J19" s="83"/>
    </row>
    <row r="20" spans="1:19" ht="18" customHeight="1" thickBot="1" x14ac:dyDescent="0.25">
      <c r="B20" s="194" t="s">
        <v>179</v>
      </c>
      <c r="C20" s="231"/>
      <c r="D20" s="210"/>
      <c r="E20" s="210"/>
      <c r="F20" s="210">
        <v>10000</v>
      </c>
      <c r="G20" s="210">
        <f>SUM(D20:F20)</f>
        <v>10000</v>
      </c>
      <c r="H20" s="5"/>
      <c r="I20" s="5"/>
    </row>
    <row r="21" spans="1:19" ht="18" customHeight="1" x14ac:dyDescent="0.2">
      <c r="B21" t="s">
        <v>180</v>
      </c>
      <c r="C21" s="45" t="s">
        <v>44</v>
      </c>
      <c r="D21" s="83">
        <f>(D12*G11*G10)/1000</f>
        <v>700</v>
      </c>
      <c r="E21" s="83">
        <f>(E12*G11*G10)/1000</f>
        <v>300</v>
      </c>
      <c r="F21" s="83">
        <f>F17</f>
        <v>1800</v>
      </c>
      <c r="G21" s="83">
        <f>SUM(D21:F21)</f>
        <v>2800</v>
      </c>
      <c r="H21" s="5"/>
      <c r="I21" s="5"/>
    </row>
    <row r="22" spans="1:19" ht="18" customHeight="1" x14ac:dyDescent="0.2">
      <c r="B22" t="s">
        <v>181</v>
      </c>
      <c r="C22" s="45" t="s">
        <v>44</v>
      </c>
      <c r="D22" s="83">
        <f>D21</f>
        <v>700</v>
      </c>
      <c r="E22" s="83">
        <f t="shared" ref="E22" si="3">E21</f>
        <v>300</v>
      </c>
      <c r="F22" s="83">
        <f>F21-F19/1000</f>
        <v>1000</v>
      </c>
      <c r="G22" s="83">
        <f t="shared" ref="G22" si="4">SUM(D22:F22)</f>
        <v>2000</v>
      </c>
      <c r="H22" s="5"/>
      <c r="I22" s="5"/>
    </row>
    <row r="23" spans="1:19" ht="18" customHeight="1" x14ac:dyDescent="0.2">
      <c r="B23" s="196" t="s">
        <v>178</v>
      </c>
      <c r="C23" s="234" t="s">
        <v>44</v>
      </c>
      <c r="D23" s="300"/>
      <c r="E23" s="300"/>
      <c r="F23" s="300">
        <f>((F18-G10)*F20)/1000</f>
        <v>800</v>
      </c>
      <c r="G23" s="300">
        <f>SUM(D23:F23)</f>
        <v>800</v>
      </c>
      <c r="H23" s="5"/>
      <c r="I23" s="5"/>
    </row>
    <row r="24" spans="1:19" ht="18" customHeight="1" x14ac:dyDescent="0.2">
      <c r="B24" s="53" t="s">
        <v>182</v>
      </c>
      <c r="C24" s="45" t="s">
        <v>171</v>
      </c>
      <c r="D24" s="86">
        <f>D11</f>
        <v>7000</v>
      </c>
      <c r="E24" s="86">
        <f>E11</f>
        <v>3000</v>
      </c>
      <c r="F24" s="86">
        <f>F20</f>
        <v>10000</v>
      </c>
      <c r="G24" s="86">
        <f>SUM(D24:F24)</f>
        <v>20000</v>
      </c>
      <c r="H24" s="5"/>
    </row>
    <row r="25" spans="1:19" ht="20" customHeight="1" thickBot="1" x14ac:dyDescent="0.25">
      <c r="B25" s="194" t="s">
        <v>172</v>
      </c>
      <c r="C25" s="233" t="s">
        <v>42</v>
      </c>
      <c r="D25" s="240">
        <f>D24/$G$24</f>
        <v>0.35</v>
      </c>
      <c r="E25" s="240">
        <f t="shared" ref="E25:F25" si="5">E24/$G$24</f>
        <v>0.15</v>
      </c>
      <c r="F25" s="240">
        <f t="shared" si="5"/>
        <v>0.5</v>
      </c>
      <c r="G25" s="240">
        <f>SUM(D25:F25)</f>
        <v>1</v>
      </c>
      <c r="H25" s="83"/>
      <c r="I25" s="83"/>
    </row>
    <row r="26" spans="1:19" x14ac:dyDescent="0.2">
      <c r="B26" s="2"/>
      <c r="C26" s="2"/>
      <c r="D26" s="83"/>
      <c r="E26" s="83"/>
      <c r="F26" s="83"/>
      <c r="G26" s="83"/>
      <c r="H26" s="83"/>
      <c r="I26" s="83"/>
      <c r="J26" s="83"/>
    </row>
    <row r="27" spans="1:19" x14ac:dyDescent="0.2">
      <c r="B27" s="312" t="s">
        <v>173</v>
      </c>
      <c r="C27" s="270">
        <f>C14</f>
        <v>5000000</v>
      </c>
      <c r="D27" s="53"/>
      <c r="E27" s="312"/>
      <c r="F27" s="312" t="s">
        <v>183</v>
      </c>
      <c r="G27" s="311">
        <f>G14-G17*1000</f>
        <v>2550000</v>
      </c>
      <c r="H27" s="83"/>
      <c r="I27" s="83"/>
      <c r="J27" s="83"/>
    </row>
    <row r="28" spans="1:19" x14ac:dyDescent="0.2">
      <c r="B28" s="2"/>
      <c r="C28" s="2"/>
      <c r="D28" s="83"/>
      <c r="E28" s="83"/>
      <c r="F28" s="83"/>
      <c r="G28" s="83"/>
      <c r="H28" s="83"/>
      <c r="I28" s="83"/>
      <c r="J28" s="83"/>
      <c r="M28" s="83"/>
      <c r="N28" s="83"/>
      <c r="O28" s="83"/>
      <c r="P28" s="83"/>
      <c r="Q28" s="83"/>
    </row>
    <row r="29" spans="1:19" ht="20" customHeight="1" x14ac:dyDescent="0.2">
      <c r="A29" t="s">
        <v>305</v>
      </c>
      <c r="B29" s="206" t="s">
        <v>184</v>
      </c>
      <c r="C29" s="169" t="s">
        <v>80</v>
      </c>
      <c r="D29" s="169" t="str">
        <f>D16</f>
        <v>Mrs A</v>
      </c>
      <c r="E29" s="169" t="str">
        <f t="shared" ref="E29:F29" si="6">E16</f>
        <v>Mr B</v>
      </c>
      <c r="F29" s="169" t="str">
        <f t="shared" si="6"/>
        <v>Invest. Fd</v>
      </c>
      <c r="G29" s="169" t="s">
        <v>86</v>
      </c>
      <c r="H29" s="83"/>
      <c r="I29" s="83"/>
      <c r="J29" s="83"/>
      <c r="K29" s="83"/>
      <c r="L29" s="83"/>
      <c r="M29" s="83"/>
      <c r="N29" s="83"/>
    </row>
    <row r="30" spans="1:19" ht="20" customHeight="1" x14ac:dyDescent="0.2">
      <c r="B30" s="5" t="s">
        <v>185</v>
      </c>
      <c r="C30" s="224"/>
      <c r="D30" s="159">
        <v>0</v>
      </c>
      <c r="E30" s="159">
        <v>0</v>
      </c>
      <c r="F30" s="83">
        <v>5000</v>
      </c>
      <c r="G30" s="83">
        <f>SUM(D30:F30)</f>
        <v>5000</v>
      </c>
      <c r="H30" s="83"/>
      <c r="I30" s="83"/>
      <c r="J30" s="83"/>
      <c r="O30" s="345"/>
      <c r="P30" s="345"/>
      <c r="Q30" s="345"/>
      <c r="R30" s="345"/>
      <c r="S30" s="345"/>
    </row>
    <row r="31" spans="1:19" ht="20" customHeight="1" x14ac:dyDescent="0.2">
      <c r="B31" s="5" t="s">
        <v>186</v>
      </c>
      <c r="C31" s="45" t="s">
        <v>54</v>
      </c>
      <c r="D31" s="159">
        <v>0</v>
      </c>
      <c r="E31" s="159">
        <v>0</v>
      </c>
      <c r="F31" s="83">
        <v>150</v>
      </c>
      <c r="G31" s="83">
        <f>SUM(D31:F31)</f>
        <v>150</v>
      </c>
      <c r="H31" s="83"/>
      <c r="I31" s="83"/>
      <c r="J31" s="83"/>
    </row>
    <row r="32" spans="1:19" x14ac:dyDescent="0.2">
      <c r="B32" s="53" t="s">
        <v>187</v>
      </c>
      <c r="C32" s="47" t="s">
        <v>77</v>
      </c>
      <c r="D32" s="185"/>
      <c r="E32" s="185"/>
      <c r="F32" s="86">
        <f>(F30*F31)/1000</f>
        <v>750</v>
      </c>
      <c r="G32" s="86">
        <f>SUMPRODUCT(D30:F30,D31:F31)/1000</f>
        <v>750</v>
      </c>
      <c r="H32" s="83"/>
      <c r="I32" s="83"/>
      <c r="J32" s="83"/>
    </row>
    <row r="33" spans="1:10" x14ac:dyDescent="0.2">
      <c r="B33" s="196"/>
      <c r="C33" s="234"/>
      <c r="D33" s="301"/>
      <c r="E33" s="301"/>
      <c r="F33" s="300"/>
      <c r="G33" s="300"/>
      <c r="H33" s="83"/>
      <c r="I33" s="83"/>
      <c r="J33" s="83"/>
    </row>
    <row r="34" spans="1:10" ht="17" thickBot="1" x14ac:dyDescent="0.25">
      <c r="B34" s="194" t="s">
        <v>188</v>
      </c>
      <c r="C34" s="241" t="s">
        <v>77</v>
      </c>
      <c r="D34" s="242"/>
      <c r="E34" s="242"/>
      <c r="F34" s="246">
        <v>3.5000000000000003E-2</v>
      </c>
      <c r="G34" s="210">
        <f>F34*F32</f>
        <v>26.250000000000004</v>
      </c>
      <c r="I34" t="s">
        <v>304</v>
      </c>
    </row>
    <row r="35" spans="1:10" ht="17" x14ac:dyDescent="0.2">
      <c r="B35" s="316" t="s">
        <v>189</v>
      </c>
      <c r="C35" s="317">
        <v>1</v>
      </c>
      <c r="D35" s="318"/>
      <c r="E35" s="318"/>
      <c r="F35" s="318"/>
      <c r="G35" s="318"/>
    </row>
    <row r="36" spans="1:10" ht="17" x14ac:dyDescent="0.2">
      <c r="B36" s="302" t="s">
        <v>190</v>
      </c>
      <c r="C36" s="45" t="str">
        <f>C37</f>
        <v>shares</v>
      </c>
      <c r="D36" s="314"/>
      <c r="E36" s="314"/>
      <c r="F36" s="315">
        <f>F30*C35</f>
        <v>5000</v>
      </c>
      <c r="G36" s="315">
        <f>G24</f>
        <v>20000</v>
      </c>
    </row>
    <row r="37" spans="1:10" s="2" customFormat="1" ht="17.5" customHeight="1" x14ac:dyDescent="0.2">
      <c r="B37" s="319" t="s">
        <v>191</v>
      </c>
      <c r="C37" s="232" t="str">
        <f>C24</f>
        <v>shares</v>
      </c>
      <c r="D37" s="320">
        <f>D24</f>
        <v>7000</v>
      </c>
      <c r="E37" s="320">
        <f t="shared" ref="E37" si="7">E24</f>
        <v>3000</v>
      </c>
      <c r="F37" s="320">
        <f>F24+F36</f>
        <v>15000</v>
      </c>
      <c r="G37" s="320">
        <f>SUM(D37:F37)</f>
        <v>25000</v>
      </c>
    </row>
    <row r="38" spans="1:10" ht="17" x14ac:dyDescent="0.2">
      <c r="B38" s="302" t="s">
        <v>192</v>
      </c>
      <c r="C38" s="45" t="s">
        <v>44</v>
      </c>
      <c r="D38" s="83">
        <f>D21</f>
        <v>700</v>
      </c>
      <c r="E38" s="83">
        <f t="shared" ref="E38" si="8">E21</f>
        <v>300</v>
      </c>
      <c r="F38" s="83">
        <f>F21+F32</f>
        <v>2550</v>
      </c>
      <c r="G38" s="83">
        <f>SUM(D38:F38)</f>
        <v>3550</v>
      </c>
    </row>
    <row r="39" spans="1:10" x14ac:dyDescent="0.2">
      <c r="B39" t="s">
        <v>193</v>
      </c>
      <c r="C39" s="45" t="str">
        <f>C38</f>
        <v>EUR '000</v>
      </c>
      <c r="D39" s="83">
        <f>D22</f>
        <v>700</v>
      </c>
      <c r="E39" s="83">
        <f t="shared" ref="E39" si="9">E22</f>
        <v>300</v>
      </c>
      <c r="F39" s="83">
        <f>F22+(F36*G10)/1000</f>
        <v>1500</v>
      </c>
      <c r="G39" s="83">
        <f>SUM(D39:F39)</f>
        <v>2500</v>
      </c>
    </row>
    <row r="40" spans="1:10" x14ac:dyDescent="0.2">
      <c r="B40" s="196" t="s">
        <v>178</v>
      </c>
      <c r="C40" s="234" t="str">
        <f>C38</f>
        <v>EUR '000</v>
      </c>
      <c r="D40" s="300"/>
      <c r="E40" s="300"/>
      <c r="F40" s="300">
        <f>F38-F39</f>
        <v>1050</v>
      </c>
      <c r="G40" s="300">
        <f>G38-G39</f>
        <v>1050</v>
      </c>
    </row>
    <row r="41" spans="1:10" ht="20" customHeight="1" thickBot="1" x14ac:dyDescent="0.25">
      <c r="B41" s="194" t="s">
        <v>194</v>
      </c>
      <c r="C41" s="233" t="s">
        <v>42</v>
      </c>
      <c r="D41" s="240">
        <f>D37/$G$37</f>
        <v>0.28000000000000003</v>
      </c>
      <c r="E41" s="240">
        <f t="shared" ref="E41:F41" si="10">E37/$G$37</f>
        <v>0.12</v>
      </c>
      <c r="F41" s="240">
        <f t="shared" si="10"/>
        <v>0.6</v>
      </c>
      <c r="G41" s="240">
        <f t="shared" ref="G41" si="11">G38/$G$38</f>
        <v>1</v>
      </c>
    </row>
    <row r="42" spans="1:10" x14ac:dyDescent="0.2">
      <c r="B42" s="5" t="s">
        <v>195</v>
      </c>
      <c r="C42" s="5"/>
    </row>
    <row r="43" spans="1:10" x14ac:dyDescent="0.2">
      <c r="B43" s="5"/>
      <c r="C43" s="5"/>
    </row>
    <row r="44" spans="1:10" x14ac:dyDescent="0.2">
      <c r="B44" s="312" t="s">
        <v>173</v>
      </c>
      <c r="C44" s="270">
        <f>C27</f>
        <v>5000000</v>
      </c>
      <c r="D44" s="53" t="s">
        <v>183</v>
      </c>
      <c r="E44" s="312"/>
      <c r="F44" s="53"/>
      <c r="G44" s="311">
        <f>C44+1000*(-D8-E8-F38)</f>
        <v>1800000</v>
      </c>
    </row>
    <row r="46" spans="1:10" ht="38" customHeight="1" x14ac:dyDescent="0.2">
      <c r="A46" t="s">
        <v>305</v>
      </c>
      <c r="B46" s="297" t="s">
        <v>196</v>
      </c>
      <c r="C46" s="169" t="s">
        <v>80</v>
      </c>
      <c r="D46" s="169" t="str">
        <f>D29</f>
        <v>Mrs A</v>
      </c>
      <c r="E46" s="169" t="str">
        <f t="shared" ref="E46:F46" si="12">E29</f>
        <v>Mr B</v>
      </c>
      <c r="F46" s="169" t="str">
        <f t="shared" si="12"/>
        <v>Invest. Fd</v>
      </c>
      <c r="G46" s="169" t="s">
        <v>86</v>
      </c>
    </row>
    <row r="47" spans="1:10" ht="20" customHeight="1" x14ac:dyDescent="0.2">
      <c r="B47" s="86" t="s">
        <v>197</v>
      </c>
      <c r="C47" s="303" t="s">
        <v>44</v>
      </c>
      <c r="D47" s="86"/>
      <c r="E47" s="86"/>
      <c r="F47" s="86"/>
      <c r="G47" s="86">
        <f>C14/1000</f>
        <v>5000</v>
      </c>
    </row>
    <row r="48" spans="1:10" ht="18" customHeight="1" x14ac:dyDescent="0.2">
      <c r="B48" s="83" t="s">
        <v>198</v>
      </c>
      <c r="C48" s="303" t="s">
        <v>44</v>
      </c>
      <c r="D48" s="83">
        <f>D8</f>
        <v>350</v>
      </c>
      <c r="E48" s="83">
        <f t="shared" ref="E48" si="13">E8</f>
        <v>300</v>
      </c>
      <c r="F48" s="83">
        <f>F38</f>
        <v>2550</v>
      </c>
      <c r="G48" s="83">
        <f>SUM(D48:F48)</f>
        <v>3200</v>
      </c>
    </row>
    <row r="49" spans="2:9" ht="20" customHeight="1" x14ac:dyDescent="0.2">
      <c r="B49" s="86" t="s">
        <v>199</v>
      </c>
      <c r="C49" s="244" t="s">
        <v>44</v>
      </c>
      <c r="D49" s="86"/>
      <c r="E49" s="86"/>
      <c r="F49" s="86"/>
      <c r="G49" s="86">
        <f>G47-G48</f>
        <v>1800</v>
      </c>
    </row>
    <row r="50" spans="2:9" ht="18" customHeight="1" x14ac:dyDescent="0.2">
      <c r="B50" s="83" t="s">
        <v>200</v>
      </c>
      <c r="C50" s="303" t="s">
        <v>44</v>
      </c>
      <c r="D50" s="83"/>
      <c r="E50" s="83"/>
      <c r="F50" s="83"/>
      <c r="G50" s="346">
        <v>300</v>
      </c>
    </row>
    <row r="51" spans="2:9" ht="18" customHeight="1" x14ac:dyDescent="0.2">
      <c r="B51" s="300" t="s">
        <v>201</v>
      </c>
      <c r="C51" s="304" t="s">
        <v>44</v>
      </c>
      <c r="D51" s="300"/>
      <c r="E51" s="300"/>
      <c r="F51" s="300"/>
      <c r="G51" s="300">
        <f>G49-G50</f>
        <v>1500</v>
      </c>
    </row>
    <row r="52" spans="2:9" ht="20" customHeight="1" x14ac:dyDescent="0.2">
      <c r="B52" s="86" t="s">
        <v>202</v>
      </c>
      <c r="C52" s="244" t="s">
        <v>44</v>
      </c>
      <c r="D52" s="86"/>
      <c r="E52" s="86"/>
      <c r="F52" s="222"/>
      <c r="G52" s="86">
        <f>SUMPRODUCT(F53:F54,G50:G51)</f>
        <v>94.5</v>
      </c>
    </row>
    <row r="53" spans="2:9" ht="18" customHeight="1" x14ac:dyDescent="0.2">
      <c r="B53" s="83" t="s">
        <v>203</v>
      </c>
      <c r="C53" s="303" t="s">
        <v>44</v>
      </c>
      <c r="D53" s="83"/>
      <c r="E53" s="83"/>
      <c r="F53" s="220">
        <v>0.04</v>
      </c>
      <c r="G53" s="85">
        <f>F53*G50</f>
        <v>12</v>
      </c>
    </row>
    <row r="54" spans="2:9" ht="18" customHeight="1" x14ac:dyDescent="0.2">
      <c r="B54" s="300" t="s">
        <v>204</v>
      </c>
      <c r="C54" s="304" t="s">
        <v>44</v>
      </c>
      <c r="D54" s="300"/>
      <c r="E54" s="300"/>
      <c r="F54" s="245">
        <v>5.5E-2</v>
      </c>
      <c r="G54" s="172">
        <f>F54*G51</f>
        <v>82.5</v>
      </c>
    </row>
    <row r="55" spans="2:9" ht="18" customHeight="1" x14ac:dyDescent="0.2">
      <c r="B55" s="83"/>
      <c r="C55" s="83"/>
      <c r="D55" s="83"/>
      <c r="E55" s="83"/>
      <c r="F55" s="83"/>
      <c r="G55" s="83"/>
    </row>
    <row r="56" spans="2:9" x14ac:dyDescent="0.2">
      <c r="B56" s="312" t="s">
        <v>173</v>
      </c>
      <c r="C56" s="270">
        <f>C27</f>
        <v>5000000</v>
      </c>
      <c r="D56" s="53" t="s">
        <v>183</v>
      </c>
      <c r="E56" s="312"/>
      <c r="F56" s="53"/>
      <c r="G56" s="311">
        <f>(G52+G34)*1000</f>
        <v>120750</v>
      </c>
      <c r="I56" t="s">
        <v>306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B367B9"/>
  </sheetPr>
  <dimension ref="B1:O32"/>
  <sheetViews>
    <sheetView showGridLines="0" zoomScale="90" zoomScaleNormal="90" workbookViewId="0">
      <pane ySplit="1" topLeftCell="A2" activePane="bottomLeft" state="frozen"/>
      <selection activeCell="F18" sqref="F18"/>
      <selection pane="bottomLeft" activeCell="L22" sqref="L22"/>
    </sheetView>
  </sheetViews>
  <sheetFormatPr baseColWidth="10" defaultColWidth="11.1640625" defaultRowHeight="16" x14ac:dyDescent="0.2"/>
  <cols>
    <col min="1" max="1" width="2.6640625" customWidth="1"/>
    <col min="2" max="2" width="40.83203125" customWidth="1"/>
    <col min="3" max="3" width="10.33203125" style="8" customWidth="1"/>
    <col min="4" max="8" width="10.83203125" customWidth="1"/>
    <col min="9" max="9" width="3.33203125" customWidth="1"/>
    <col min="10" max="12" width="9.83203125" customWidth="1"/>
    <col min="13" max="13" width="11.6640625" customWidth="1"/>
  </cols>
  <sheetData>
    <row r="1" spans="2:14" s="58" customFormat="1" ht="38" customHeight="1" x14ac:dyDescent="0.2">
      <c r="B1" s="62"/>
      <c r="C1" s="256"/>
      <c r="D1" s="309">
        <f>D3</f>
        <v>2025</v>
      </c>
      <c r="E1" s="309">
        <f t="shared" ref="E1:H1" si="0">E3</f>
        <v>2026</v>
      </c>
      <c r="F1" s="309">
        <f t="shared" si="0"/>
        <v>2027</v>
      </c>
      <c r="G1" s="309">
        <f t="shared" si="0"/>
        <v>2028</v>
      </c>
      <c r="H1" s="309">
        <f t="shared" si="0"/>
        <v>2029</v>
      </c>
    </row>
    <row r="2" spans="2:14" s="58" customFormat="1" ht="58" customHeight="1" x14ac:dyDescent="0.2">
      <c r="B2" s="62"/>
      <c r="C2" s="256"/>
      <c r="D2" s="60"/>
    </row>
    <row r="3" spans="2:14" s="58" customFormat="1" ht="20" customHeight="1" x14ac:dyDescent="0.2">
      <c r="B3" s="180"/>
      <c r="C3" s="181" t="s">
        <v>80</v>
      </c>
      <c r="D3" s="307">
        <v>2025</v>
      </c>
      <c r="E3" s="307">
        <v>2026</v>
      </c>
      <c r="F3" s="307">
        <f>E3+1</f>
        <v>2027</v>
      </c>
      <c r="G3" s="307">
        <f>F3+1</f>
        <v>2028</v>
      </c>
      <c r="H3" s="307">
        <f>G3+1</f>
        <v>2029</v>
      </c>
    </row>
    <row r="4" spans="2:14" s="5" customFormat="1" ht="20" customHeight="1" x14ac:dyDescent="0.2">
      <c r="B4" s="5" t="s">
        <v>205</v>
      </c>
      <c r="C4" s="45" t="s">
        <v>44</v>
      </c>
      <c r="D4" s="71">
        <f>Revenue!D9</f>
        <v>3850</v>
      </c>
      <c r="E4" s="71">
        <f>Revenue!E9</f>
        <v>6669.25</v>
      </c>
      <c r="F4" s="71">
        <f>Revenue!F9</f>
        <v>10025.504999999999</v>
      </c>
      <c r="G4" s="71">
        <f>Revenue!G9</f>
        <v>15298.178</v>
      </c>
      <c r="H4" s="71">
        <f>Revenue!H9</f>
        <v>17332.835673999998</v>
      </c>
      <c r="I4" s="58"/>
      <c r="J4" s="58"/>
      <c r="K4" s="58"/>
      <c r="L4" s="58"/>
      <c r="M4" s="58"/>
      <c r="N4" s="58"/>
    </row>
    <row r="5" spans="2:14" s="5" customFormat="1" ht="18" customHeight="1" x14ac:dyDescent="0.2">
      <c r="B5" s="5" t="s">
        <v>206</v>
      </c>
      <c r="C5" s="45"/>
      <c r="D5" s="71">
        <f>Revenue!D13</f>
        <v>4275</v>
      </c>
      <c r="E5" s="71">
        <f>Revenue!E13</f>
        <v>5985</v>
      </c>
      <c r="F5" s="71">
        <f>Revenue!F13</f>
        <v>8379</v>
      </c>
      <c r="G5" s="71">
        <f>Revenue!G13</f>
        <v>12647.053125</v>
      </c>
      <c r="H5" s="71">
        <f>Revenue!H13</f>
        <v>15011.502187500002</v>
      </c>
      <c r="I5" s="58"/>
      <c r="J5" s="323"/>
      <c r="K5" s="323"/>
      <c r="L5" s="323"/>
      <c r="M5" s="323"/>
      <c r="N5" s="323"/>
    </row>
    <row r="6" spans="2:14" s="51" customFormat="1" ht="20" customHeight="1" x14ac:dyDescent="0.2">
      <c r="B6" s="53" t="s">
        <v>207</v>
      </c>
      <c r="C6" s="47" t="s">
        <v>44</v>
      </c>
      <c r="D6" s="86">
        <f>SUM(D4:D5)</f>
        <v>8125</v>
      </c>
      <c r="E6" s="86">
        <f t="shared" ref="E6:H6" si="1">SUM(E4:E5)</f>
        <v>12654.25</v>
      </c>
      <c r="F6" s="86">
        <f t="shared" si="1"/>
        <v>18404.504999999997</v>
      </c>
      <c r="G6" s="86">
        <f t="shared" si="1"/>
        <v>27945.231124999998</v>
      </c>
      <c r="H6" s="86">
        <f t="shared" si="1"/>
        <v>32344.3378615</v>
      </c>
      <c r="I6" s="58"/>
      <c r="J6" s="58"/>
      <c r="K6" s="58"/>
      <c r="L6" s="58"/>
      <c r="M6" s="58"/>
    </row>
    <row r="7" spans="2:14" ht="20" customHeight="1" x14ac:dyDescent="0.2">
      <c r="B7" t="s">
        <v>141</v>
      </c>
      <c r="C7" s="45"/>
      <c r="D7" s="83">
        <f>Fuel!D31</f>
        <v>508.2</v>
      </c>
      <c r="E7" s="83">
        <f>Fuel!E31</f>
        <v>891.25575000000015</v>
      </c>
      <c r="F7" s="83">
        <f>Fuel!F31</f>
        <v>1445.0031749999998</v>
      </c>
      <c r="G7" s="83">
        <f>Fuel!G31</f>
        <v>2434.6623262499998</v>
      </c>
      <c r="H7" s="83">
        <f>Fuel!H31</f>
        <v>3110.9574168749991</v>
      </c>
      <c r="I7" s="58"/>
      <c r="J7" s="310"/>
      <c r="K7" s="58"/>
      <c r="L7" s="58"/>
      <c r="M7" s="58"/>
    </row>
    <row r="8" spans="2:14" ht="18" customHeight="1" x14ac:dyDescent="0.2">
      <c r="B8" t="s">
        <v>208</v>
      </c>
      <c r="C8" s="45"/>
      <c r="D8" s="83">
        <f>Crew!D37</f>
        <v>630.13920000000007</v>
      </c>
      <c r="E8" s="83">
        <f>Crew!E37</f>
        <v>968.83901999999978</v>
      </c>
      <c r="F8" s="83">
        <f>Crew!F37</f>
        <v>1324.0799939999997</v>
      </c>
      <c r="G8" s="83">
        <f>Crew!G37</f>
        <v>1727.2141045312492</v>
      </c>
      <c r="H8" s="83">
        <f>Crew!H37</f>
        <v>2162.2793816024987</v>
      </c>
      <c r="I8" s="58"/>
      <c r="J8" s="310"/>
      <c r="K8" s="58"/>
      <c r="L8" s="58"/>
      <c r="M8" s="58"/>
    </row>
    <row r="9" spans="2:14" ht="18" customHeight="1" x14ac:dyDescent="0.2">
      <c r="B9" t="s">
        <v>209</v>
      </c>
      <c r="C9" s="45"/>
      <c r="D9" s="83">
        <f>'Tech &amp; Other costs'!D9</f>
        <v>1500</v>
      </c>
      <c r="E9" s="83">
        <f>'Tech &amp; Other costs'!E9</f>
        <v>2401.875</v>
      </c>
      <c r="F9" s="83">
        <f>'Tech &amp; Other costs'!F9</f>
        <v>3555.5625</v>
      </c>
      <c r="G9" s="83">
        <f>'Tech &amp; Other costs'!G9</f>
        <v>5469.7781249999998</v>
      </c>
      <c r="H9" s="83">
        <f>'Tech &amp; Other costs'!H9</f>
        <v>6381.4078124999996</v>
      </c>
      <c r="I9" s="58"/>
      <c r="J9" s="310"/>
      <c r="K9" s="150"/>
      <c r="L9" s="150"/>
      <c r="M9" s="150"/>
    </row>
    <row r="10" spans="2:14" ht="18" customHeight="1" x14ac:dyDescent="0.2">
      <c r="B10" t="s">
        <v>210</v>
      </c>
      <c r="C10" s="45"/>
      <c r="D10" s="83">
        <f>'Tech &amp; Other costs'!D21</f>
        <v>81.25</v>
      </c>
      <c r="E10" s="83">
        <f>'Tech &amp; Other costs'!E21</f>
        <v>126.5425</v>
      </c>
      <c r="F10" s="83">
        <f>'Tech &amp; Other costs'!F21</f>
        <v>184.04504999999997</v>
      </c>
      <c r="G10" s="83">
        <f>'Tech &amp; Other costs'!G21</f>
        <v>279.45231124999998</v>
      </c>
      <c r="H10" s="83">
        <f>'Tech &amp; Other costs'!H21</f>
        <v>323.44337861500003</v>
      </c>
      <c r="I10" s="58"/>
      <c r="J10" s="310"/>
      <c r="K10" s="149"/>
      <c r="L10" s="149"/>
      <c r="M10" s="149"/>
    </row>
    <row r="11" spans="2:14" ht="18" customHeight="1" x14ac:dyDescent="0.2">
      <c r="B11" t="s">
        <v>211</v>
      </c>
      <c r="C11" s="266"/>
      <c r="D11" s="255">
        <f>'Tech &amp; Other costs'!D23</f>
        <v>162.5</v>
      </c>
      <c r="E11" s="255">
        <f>'Tech &amp; Other costs'!E23</f>
        <v>253.08500000000001</v>
      </c>
      <c r="F11" s="255">
        <f>'Tech &amp; Other costs'!F23</f>
        <v>368.09009999999995</v>
      </c>
      <c r="G11" s="255">
        <f>'Tech &amp; Other costs'!G23</f>
        <v>558.90462249999996</v>
      </c>
      <c r="H11" s="255">
        <f>'Tech &amp; Other costs'!H23</f>
        <v>646.88675723000006</v>
      </c>
      <c r="I11" s="255"/>
      <c r="J11" s="310"/>
      <c r="K11" s="149"/>
      <c r="L11" s="149"/>
      <c r="M11" s="149"/>
    </row>
    <row r="12" spans="2:14" ht="20" customHeight="1" x14ac:dyDescent="0.2">
      <c r="B12" t="s">
        <v>147</v>
      </c>
      <c r="C12" s="45"/>
      <c r="D12" s="83">
        <f>Leasing!D21</f>
        <v>2100</v>
      </c>
      <c r="E12" s="83">
        <f>Leasing!E21</f>
        <v>4200</v>
      </c>
      <c r="F12" s="83">
        <f>Leasing!F21</f>
        <v>5250</v>
      </c>
      <c r="G12" s="83">
        <f>Leasing!G21</f>
        <v>7350</v>
      </c>
      <c r="H12" s="83">
        <f>Leasing!H21</f>
        <v>7350</v>
      </c>
      <c r="I12" s="58"/>
      <c r="J12" s="310"/>
      <c r="K12" s="150"/>
      <c r="L12" s="150"/>
      <c r="M12" s="150"/>
    </row>
    <row r="13" spans="2:14" ht="18" customHeight="1" x14ac:dyDescent="0.2">
      <c r="B13" s="2" t="s">
        <v>212</v>
      </c>
      <c r="C13" s="47"/>
      <c r="D13" s="103">
        <f>SUM(D7:D12)</f>
        <v>4982.0892000000003</v>
      </c>
      <c r="E13" s="103">
        <f t="shared" ref="E13:H13" si="2">SUM(E7:E12)</f>
        <v>8841.5972699999984</v>
      </c>
      <c r="F13" s="103">
        <f t="shared" si="2"/>
        <v>12126.780819</v>
      </c>
      <c r="G13" s="103">
        <f t="shared" si="2"/>
        <v>17820.011489531251</v>
      </c>
      <c r="H13" s="103">
        <f t="shared" si="2"/>
        <v>19974.974746822496</v>
      </c>
      <c r="I13" s="58"/>
      <c r="J13" s="149"/>
      <c r="K13" s="149"/>
      <c r="L13" s="149"/>
      <c r="M13" s="149"/>
    </row>
    <row r="14" spans="2:14" ht="20" customHeight="1" x14ac:dyDescent="0.2">
      <c r="B14" s="53" t="s">
        <v>213</v>
      </c>
      <c r="C14" s="47" t="s">
        <v>44</v>
      </c>
      <c r="D14" s="86">
        <f>D6-D13</f>
        <v>3142.9107999999997</v>
      </c>
      <c r="E14" s="86">
        <f t="shared" ref="E14:H14" si="3">E6-E13</f>
        <v>3812.6527300000016</v>
      </c>
      <c r="F14" s="86">
        <f t="shared" si="3"/>
        <v>6277.7241809999978</v>
      </c>
      <c r="G14" s="86">
        <f t="shared" si="3"/>
        <v>10125.219635468748</v>
      </c>
      <c r="H14" s="86">
        <f t="shared" si="3"/>
        <v>12369.363114677504</v>
      </c>
      <c r="I14" s="58"/>
      <c r="J14" s="149"/>
      <c r="K14" s="149"/>
      <c r="L14" s="149"/>
      <c r="M14" s="149"/>
    </row>
    <row r="15" spans="2:14" s="5" customFormat="1" ht="18" customHeight="1" x14ac:dyDescent="0.2">
      <c r="B15" s="1" t="s">
        <v>213</v>
      </c>
      <c r="C15" s="175" t="s">
        <v>42</v>
      </c>
      <c r="D15" s="265">
        <f>D14/D$6</f>
        <v>0.38681979076923073</v>
      </c>
      <c r="E15" s="265">
        <f>E14/E$6</f>
        <v>0.30129424738724159</v>
      </c>
      <c r="F15" s="265">
        <f t="shared" ref="F15:H15" si="4">F14/F$6</f>
        <v>0.3410971488230734</v>
      </c>
      <c r="G15" s="265">
        <f t="shared" si="4"/>
        <v>0.3623237034676251</v>
      </c>
      <c r="H15" s="265">
        <f t="shared" si="4"/>
        <v>0.38242746435693653</v>
      </c>
      <c r="I15" s="58"/>
      <c r="J15" s="149"/>
      <c r="K15" s="149"/>
      <c r="L15" s="149"/>
      <c r="M15" s="149"/>
    </row>
    <row r="16" spans="2:14" ht="18" customHeight="1" x14ac:dyDescent="0.2">
      <c r="B16" t="s">
        <v>214</v>
      </c>
      <c r="C16" s="45"/>
      <c r="D16" s="83">
        <f>'Tech &amp; Other costs'!D19</f>
        <v>300</v>
      </c>
      <c r="E16" s="83">
        <f>'Tech &amp; Other costs'!E19</f>
        <v>330</v>
      </c>
      <c r="F16" s="83">
        <f>'Tech &amp; Other costs'!F19</f>
        <v>363.00000000000006</v>
      </c>
      <c r="G16" s="83">
        <f>'Tech &amp; Other costs'!G19</f>
        <v>399.30000000000007</v>
      </c>
      <c r="H16" s="83">
        <f>'Tech &amp; Other costs'!H19</f>
        <v>439.23000000000013</v>
      </c>
      <c r="I16" s="58"/>
      <c r="J16" s="310"/>
      <c r="K16" s="149"/>
      <c r="L16" s="149"/>
      <c r="M16" s="149"/>
    </row>
    <row r="17" spans="2:15" ht="18" customHeight="1" x14ac:dyDescent="0.2">
      <c r="B17" t="s">
        <v>215</v>
      </c>
      <c r="C17" s="45"/>
      <c r="D17" s="83">
        <f>'Tech &amp; Other costs'!D17</f>
        <v>450</v>
      </c>
      <c r="E17" s="83">
        <f>'Tech &amp; Other costs'!E17</f>
        <v>495.00000000000006</v>
      </c>
      <c r="F17" s="83">
        <f>'Tech &amp; Other costs'!F17</f>
        <v>544.50000000000011</v>
      </c>
      <c r="G17" s="83">
        <f>'Tech &amp; Other costs'!G17</f>
        <v>598.95000000000016</v>
      </c>
      <c r="H17" s="83">
        <f>'Tech &amp; Other costs'!H17</f>
        <v>658.84500000000025</v>
      </c>
      <c r="I17" s="58"/>
      <c r="J17" s="310"/>
      <c r="K17" s="149"/>
      <c r="L17" s="149"/>
      <c r="M17" s="149"/>
    </row>
    <row r="18" spans="2:15" s="2" customFormat="1" ht="20" customHeight="1" x14ac:dyDescent="0.2">
      <c r="B18" s="53" t="s">
        <v>216</v>
      </c>
      <c r="C18" s="47" t="s">
        <v>44</v>
      </c>
      <c r="D18" s="86">
        <f>D14-SUM(D16:D17)</f>
        <v>2392.9107999999997</v>
      </c>
      <c r="E18" s="86">
        <f t="shared" ref="E18:H18" si="5">E14-SUM(E16:E17)</f>
        <v>2987.6527300000016</v>
      </c>
      <c r="F18" s="86">
        <f t="shared" si="5"/>
        <v>5370.2241809999978</v>
      </c>
      <c r="G18" s="86">
        <f t="shared" si="5"/>
        <v>9126.9696354687476</v>
      </c>
      <c r="H18" s="86">
        <f t="shared" si="5"/>
        <v>11271.288114677503</v>
      </c>
      <c r="I18" s="58"/>
      <c r="J18" s="149"/>
      <c r="K18" s="149"/>
      <c r="L18" s="149"/>
      <c r="M18" s="149"/>
    </row>
    <row r="19" spans="2:15" s="51" customFormat="1" ht="19" customHeight="1" x14ac:dyDescent="0.2">
      <c r="B19" s="1" t="s">
        <v>217</v>
      </c>
      <c r="C19" s="45" t="s">
        <v>42</v>
      </c>
      <c r="D19" s="265">
        <f>D18/D$6</f>
        <v>0.29451209846153842</v>
      </c>
      <c r="E19" s="265">
        <f t="shared" ref="E19:H19" si="6">E18/E$6</f>
        <v>0.2360987597052375</v>
      </c>
      <c r="F19" s="265">
        <f t="shared" si="6"/>
        <v>0.2917885692117228</v>
      </c>
      <c r="G19" s="265">
        <f t="shared" si="6"/>
        <v>0.32660204507321811</v>
      </c>
      <c r="H19" s="265">
        <f t="shared" si="6"/>
        <v>0.34847793647660058</v>
      </c>
      <c r="I19" s="58"/>
      <c r="J19" s="149"/>
      <c r="K19" s="149"/>
      <c r="L19" s="149"/>
      <c r="M19" s="149"/>
    </row>
    <row r="20" spans="2:15" ht="18" customHeight="1" x14ac:dyDescent="0.2">
      <c r="B20" t="s">
        <v>218</v>
      </c>
      <c r="C20" s="45"/>
      <c r="D20" s="83">
        <f>CAPEX!$D$8</f>
        <v>30</v>
      </c>
      <c r="E20" s="83">
        <f>CAPEX!$D$8</f>
        <v>30</v>
      </c>
      <c r="F20" s="83">
        <f>CAPEX!$D$8</f>
        <v>30</v>
      </c>
      <c r="G20" s="83">
        <f>CAPEX!$D$8</f>
        <v>30</v>
      </c>
      <c r="H20" s="83">
        <f>CAPEX!$D$8</f>
        <v>30</v>
      </c>
      <c r="I20" s="58"/>
      <c r="J20" s="149"/>
      <c r="K20" s="149"/>
      <c r="L20" s="149"/>
      <c r="M20" s="149"/>
    </row>
    <row r="21" spans="2:15" s="2" customFormat="1" ht="20" customHeight="1" x14ac:dyDescent="0.2">
      <c r="B21" s="53" t="s">
        <v>219</v>
      </c>
      <c r="C21" s="47" t="s">
        <v>44</v>
      </c>
      <c r="D21" s="86">
        <f>D18-D20</f>
        <v>2362.9107999999997</v>
      </c>
      <c r="E21" s="86">
        <f t="shared" ref="E21:H21" si="7">E18-E20</f>
        <v>2957.6527300000016</v>
      </c>
      <c r="F21" s="86">
        <f t="shared" si="7"/>
        <v>5340.2241809999978</v>
      </c>
      <c r="G21" s="86">
        <f t="shared" si="7"/>
        <v>9096.9696354687476</v>
      </c>
      <c r="H21" s="86">
        <f t="shared" si="7"/>
        <v>11241.288114677503</v>
      </c>
      <c r="I21" s="58"/>
      <c r="J21" s="149"/>
      <c r="K21" s="149"/>
      <c r="L21" s="149"/>
      <c r="M21" s="149"/>
    </row>
    <row r="22" spans="2:15" s="5" customFormat="1" ht="18" customHeight="1" x14ac:dyDescent="0.2">
      <c r="B22" s="1" t="s">
        <v>220</v>
      </c>
      <c r="C22" s="45" t="s">
        <v>42</v>
      </c>
      <c r="D22" s="265">
        <f>D21/D$6</f>
        <v>0.2908197907692307</v>
      </c>
      <c r="E22" s="265">
        <f t="shared" ref="E22" si="8">E21/E$6</f>
        <v>0.23372801469861917</v>
      </c>
      <c r="F22" s="265">
        <f t="shared" ref="F22" si="9">F21/F$6</f>
        <v>0.29015853352209137</v>
      </c>
      <c r="G22" s="265">
        <f t="shared" ref="G22" si="10">G21/G$6</f>
        <v>0.3255285166466394</v>
      </c>
      <c r="H22" s="265">
        <f t="shared" ref="H22" si="11">H21/H$6</f>
        <v>0.34755041710277812</v>
      </c>
      <c r="I22" s="58"/>
      <c r="J22" s="149"/>
      <c r="K22" s="149"/>
      <c r="L22" s="149"/>
      <c r="M22" s="149"/>
      <c r="N22" s="2"/>
      <c r="O22" s="2"/>
    </row>
    <row r="23" spans="2:15" ht="18" customHeight="1" x14ac:dyDescent="0.2">
      <c r="B23" t="s">
        <v>221</v>
      </c>
      <c r="C23" s="45" t="s">
        <v>44</v>
      </c>
      <c r="D23" s="83">
        <f>-Fundings!$G$56/1000</f>
        <v>-120.75</v>
      </c>
      <c r="E23" s="83">
        <f>-Fundings!$G$56/1000</f>
        <v>-120.75</v>
      </c>
      <c r="F23" s="83">
        <f>-Fundings!$G$56/1000</f>
        <v>-120.75</v>
      </c>
      <c r="G23" s="83">
        <f>-Fundings!$G$56/1000</f>
        <v>-120.75</v>
      </c>
      <c r="H23" s="83">
        <f>-Fundings!$G$56/1000</f>
        <v>-120.75</v>
      </c>
      <c r="I23" s="58"/>
      <c r="J23" s="149"/>
      <c r="K23" s="149"/>
      <c r="L23" s="149"/>
      <c r="M23" s="149"/>
      <c r="N23" s="2"/>
      <c r="O23" s="2"/>
    </row>
    <row r="24" spans="2:15" ht="20" customHeight="1" x14ac:dyDescent="0.2">
      <c r="B24" s="53" t="s">
        <v>222</v>
      </c>
      <c r="C24" s="47" t="s">
        <v>44</v>
      </c>
      <c r="D24" s="86">
        <f>D21+D23</f>
        <v>2242.1607999999997</v>
      </c>
      <c r="E24" s="86">
        <f t="shared" ref="E24:H24" si="12">E21+E23</f>
        <v>2836.9027300000016</v>
      </c>
      <c r="F24" s="86">
        <f t="shared" si="12"/>
        <v>5219.4741809999978</v>
      </c>
      <c r="G24" s="86">
        <f t="shared" si="12"/>
        <v>8976.2196354687476</v>
      </c>
      <c r="H24" s="86">
        <f t="shared" si="12"/>
        <v>11120.538114677503</v>
      </c>
      <c r="I24" s="58"/>
      <c r="J24" s="149"/>
      <c r="K24" s="149"/>
      <c r="L24" s="149"/>
      <c r="M24" s="149"/>
      <c r="N24" s="2"/>
      <c r="O24" s="2"/>
    </row>
    <row r="25" spans="2:15" ht="20" customHeight="1" x14ac:dyDescent="0.2">
      <c r="B25" t="s">
        <v>223</v>
      </c>
      <c r="C25" s="235" t="s">
        <v>44</v>
      </c>
      <c r="D25" s="83">
        <f>-D24*D26</f>
        <v>-560.54019999999991</v>
      </c>
      <c r="E25" s="83">
        <f t="shared" ref="E25:H25" si="13">-E24*E26</f>
        <v>-709.2256825000004</v>
      </c>
      <c r="F25" s="83">
        <f t="shared" si="13"/>
        <v>-1304.8685452499994</v>
      </c>
      <c r="G25" s="83">
        <f t="shared" si="13"/>
        <v>-2244.0549088671869</v>
      </c>
      <c r="H25" s="83">
        <f t="shared" si="13"/>
        <v>-2780.1345286693759</v>
      </c>
      <c r="I25" s="58"/>
      <c r="J25" s="149"/>
      <c r="K25" s="149"/>
      <c r="L25" s="149"/>
      <c r="M25" s="149"/>
      <c r="N25" s="2"/>
      <c r="O25" s="2"/>
    </row>
    <row r="26" spans="2:15" ht="18" customHeight="1" x14ac:dyDescent="0.2">
      <c r="B26" t="s">
        <v>224</v>
      </c>
      <c r="C26" s="235" t="s">
        <v>42</v>
      </c>
      <c r="D26" s="105">
        <v>0.25</v>
      </c>
      <c r="E26" s="105">
        <v>0.25</v>
      </c>
      <c r="F26" s="105">
        <v>0.25</v>
      </c>
      <c r="G26" s="105">
        <v>0.25</v>
      </c>
      <c r="H26" s="105">
        <v>0.25</v>
      </c>
      <c r="I26" s="58"/>
      <c r="J26" s="149"/>
      <c r="K26" s="149"/>
      <c r="L26" s="149"/>
      <c r="M26" s="149"/>
      <c r="N26" s="2"/>
      <c r="O26" s="2"/>
    </row>
    <row r="27" spans="2:15" ht="20" customHeight="1" thickBot="1" x14ac:dyDescent="0.25">
      <c r="B27" s="194" t="s">
        <v>225</v>
      </c>
      <c r="C27" s="231" t="s">
        <v>44</v>
      </c>
      <c r="D27" s="210">
        <f>D24+D25</f>
        <v>1681.6205999999997</v>
      </c>
      <c r="E27" s="210">
        <f t="shared" ref="E27:H27" si="14">E24+E25</f>
        <v>2127.6770475000012</v>
      </c>
      <c r="F27" s="210">
        <f t="shared" si="14"/>
        <v>3914.6056357499983</v>
      </c>
      <c r="G27" s="210">
        <f t="shared" si="14"/>
        <v>6732.1647266015607</v>
      </c>
      <c r="H27" s="210">
        <f t="shared" si="14"/>
        <v>8340.4035860081276</v>
      </c>
      <c r="I27" s="58"/>
      <c r="J27" s="149"/>
      <c r="K27" s="149"/>
      <c r="L27" s="149"/>
      <c r="M27" s="149"/>
      <c r="N27" s="2"/>
      <c r="O27" s="2"/>
    </row>
    <row r="28" spans="2:15" x14ac:dyDescent="0.2">
      <c r="B28" t="s">
        <v>307</v>
      </c>
      <c r="D28" s="220">
        <f>D27/D6</f>
        <v>0.20696868923076919</v>
      </c>
      <c r="E28" s="220">
        <f t="shared" ref="E28:H28" si="15">E27/E6</f>
        <v>0.16813932453523528</v>
      </c>
      <c r="F28" s="220">
        <f t="shared" si="15"/>
        <v>0.21269822990349369</v>
      </c>
      <c r="G28" s="220">
        <f t="shared" si="15"/>
        <v>0.24090567354724504</v>
      </c>
      <c r="H28" s="220">
        <f t="shared" si="15"/>
        <v>0.25786286371735712</v>
      </c>
      <c r="I28" s="58"/>
      <c r="K28" s="149"/>
      <c r="L28" s="149"/>
      <c r="M28" s="149"/>
      <c r="N28" s="2"/>
      <c r="O28" s="2"/>
    </row>
    <row r="29" spans="2:15" x14ac:dyDescent="0.2">
      <c r="I29" s="58"/>
      <c r="K29" s="149"/>
      <c r="L29" s="149"/>
      <c r="M29" s="149"/>
      <c r="N29" s="2"/>
      <c r="O29" s="2"/>
    </row>
    <row r="30" spans="2:15" x14ac:dyDescent="0.2">
      <c r="I30" s="58"/>
      <c r="K30" s="149"/>
      <c r="L30" s="149"/>
      <c r="M30" s="149"/>
      <c r="N30" s="2"/>
      <c r="O30" s="2"/>
    </row>
    <row r="31" spans="2:15" x14ac:dyDescent="0.2">
      <c r="I31" s="58"/>
    </row>
    <row r="32" spans="2:15" x14ac:dyDescent="0.2">
      <c r="D32" s="324"/>
      <c r="E32" s="324"/>
      <c r="F32" s="324"/>
      <c r="G32" s="324"/>
      <c r="H32" s="324"/>
      <c r="I32" s="5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9" r:id="rId4" name="Drop Down 11">
              <controlPr defaultSize="0" autoLine="0" autoPict="0">
                <anchor moveWithCells="1">
                  <from>
                    <xdr:col>1</xdr:col>
                    <xdr:colOff>660400</xdr:colOff>
                    <xdr:row>0</xdr:row>
                    <xdr:rowOff>101600</xdr:rowOff>
                  </from>
                  <to>
                    <xdr:col>1</xdr:col>
                    <xdr:colOff>1943100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5" name="Drop Down 12">
              <controlPr defaultSize="0" autoLine="0" autoPict="0">
                <anchor moveWithCells="1">
                  <from>
                    <xdr:col>2</xdr:col>
                    <xdr:colOff>12700</xdr:colOff>
                    <xdr:row>0</xdr:row>
                    <xdr:rowOff>101600</xdr:rowOff>
                  </from>
                  <to>
                    <xdr:col>3</xdr:col>
                    <xdr:colOff>355600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6" name="Drop Down 13">
              <controlPr defaultSize="0" autoLine="0" autoPict="0">
                <anchor moveWithCells="1">
                  <from>
                    <xdr:col>1</xdr:col>
                    <xdr:colOff>1968500</xdr:colOff>
                    <xdr:row>0</xdr:row>
                    <xdr:rowOff>114300</xdr:rowOff>
                  </from>
                  <to>
                    <xdr:col>1</xdr:col>
                    <xdr:colOff>3086100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/>
  </sheetViews>
  <sheetFormatPr baseColWidth="10" defaultColWidth="11.1640625" defaultRowHeight="16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B367B9"/>
  </sheetPr>
  <dimension ref="B1:L29"/>
  <sheetViews>
    <sheetView showGridLines="0" zoomScale="91" zoomScaleNormal="130" workbookViewId="0">
      <pane ySplit="1" topLeftCell="A2" activePane="bottomLeft" state="frozen"/>
      <selection pane="bottomLeft" activeCell="D10" sqref="D10"/>
    </sheetView>
  </sheetViews>
  <sheetFormatPr baseColWidth="10" defaultColWidth="11.1640625" defaultRowHeight="16" x14ac:dyDescent="0.2"/>
  <cols>
    <col min="1" max="1" width="2.6640625" customWidth="1"/>
    <col min="2" max="2" width="40.83203125" customWidth="1"/>
    <col min="3" max="3" width="15.83203125" style="8" customWidth="1"/>
    <col min="4" max="9" width="10.83203125" customWidth="1"/>
  </cols>
  <sheetData>
    <row r="1" spans="2:12" s="2" customFormat="1" ht="53" customHeight="1" x14ac:dyDescent="0.2">
      <c r="B1" s="183"/>
      <c r="C1" s="8"/>
      <c r="D1" s="54">
        <f>Cockpit!B18</f>
        <v>2025</v>
      </c>
      <c r="E1" s="54">
        <f>D1+1</f>
        <v>2026</v>
      </c>
      <c r="F1" s="54">
        <f t="shared" ref="F1:H1" si="0">E1+1</f>
        <v>2027</v>
      </c>
      <c r="G1" s="54">
        <f t="shared" si="0"/>
        <v>2028</v>
      </c>
      <c r="H1" s="54">
        <f t="shared" si="0"/>
        <v>2029</v>
      </c>
    </row>
    <row r="3" spans="2:12" x14ac:dyDescent="0.2">
      <c r="B3" s="2"/>
    </row>
    <row r="7" spans="2:12" s="2" customFormat="1" ht="19" customHeight="1" x14ac:dyDescent="0.2">
      <c r="B7" s="46"/>
      <c r="C7" s="169" t="s">
        <v>80</v>
      </c>
      <c r="D7" s="169">
        <f>Cockpit!B18</f>
        <v>2025</v>
      </c>
      <c r="E7" s="169">
        <f>D7+1</f>
        <v>2026</v>
      </c>
      <c r="F7" s="169">
        <f>E7+1</f>
        <v>2027</v>
      </c>
      <c r="G7" s="169">
        <f>F7+1</f>
        <v>2028</v>
      </c>
      <c r="H7" s="169">
        <f>G7+1</f>
        <v>2029</v>
      </c>
      <c r="K7"/>
      <c r="L7"/>
    </row>
    <row r="8" spans="2:12" ht="20" customHeight="1" x14ac:dyDescent="0.2">
      <c r="B8" t="s">
        <v>226</v>
      </c>
      <c r="C8" s="45" t="s">
        <v>49</v>
      </c>
      <c r="D8" s="83">
        <f>Revenue!D16</f>
        <v>1000</v>
      </c>
      <c r="E8" s="83">
        <f>Revenue!E16</f>
        <v>1525</v>
      </c>
      <c r="F8" s="83">
        <f>Revenue!F16</f>
        <v>2150</v>
      </c>
      <c r="G8" s="83">
        <f>Revenue!G16</f>
        <v>3150</v>
      </c>
      <c r="H8" s="83">
        <f>Revenue!H16</f>
        <v>3500</v>
      </c>
    </row>
    <row r="9" spans="2:12" ht="20" customHeight="1" x14ac:dyDescent="0.2">
      <c r="B9" s="53" t="s">
        <v>50</v>
      </c>
      <c r="C9" s="45" t="s">
        <v>44</v>
      </c>
      <c r="D9" s="123">
        <f>'P&amp;L'!D6</f>
        <v>8125</v>
      </c>
      <c r="E9" s="123">
        <f>'P&amp;L'!E6</f>
        <v>12654.25</v>
      </c>
      <c r="F9" s="123">
        <f>'P&amp;L'!F6</f>
        <v>18404.504999999997</v>
      </c>
      <c r="G9" s="123">
        <f>'P&amp;L'!G6</f>
        <v>27945.231124999998</v>
      </c>
      <c r="H9" s="123">
        <f>'P&amp;L'!H6</f>
        <v>32344.3378615</v>
      </c>
    </row>
    <row r="10" spans="2:12" x14ac:dyDescent="0.2">
      <c r="B10" s="53" t="s">
        <v>227</v>
      </c>
      <c r="C10" s="45" t="s">
        <v>54</v>
      </c>
      <c r="D10" s="123">
        <f>Revenue!D20</f>
        <v>8125</v>
      </c>
      <c r="E10" s="123">
        <f>Revenue!E20</f>
        <v>8297.8688524590161</v>
      </c>
      <c r="F10" s="123">
        <f>Revenue!F20</f>
        <v>8560.2348837209283</v>
      </c>
      <c r="G10" s="123">
        <f>Revenue!G20</f>
        <v>8871.5019444444442</v>
      </c>
      <c r="H10" s="123">
        <f>Revenue!H20</f>
        <v>9241.2393890000003</v>
      </c>
    </row>
    <row r="11" spans="2:12" ht="20" customHeight="1" x14ac:dyDescent="0.2">
      <c r="B11" t="s">
        <v>156</v>
      </c>
      <c r="C11" s="45" t="s">
        <v>44</v>
      </c>
      <c r="D11" s="120">
        <f>'P&amp;L'!D7</f>
        <v>508.2</v>
      </c>
      <c r="E11" s="120">
        <f>'P&amp;L'!E7</f>
        <v>891.25575000000015</v>
      </c>
      <c r="F11" s="120">
        <f>'P&amp;L'!F7</f>
        <v>1445.0031749999998</v>
      </c>
      <c r="G11" s="120">
        <f>'P&amp;L'!G7</f>
        <v>2434.6623262499998</v>
      </c>
      <c r="H11" s="120">
        <f>'P&amp;L'!H7</f>
        <v>3110.9574168749991</v>
      </c>
    </row>
    <row r="12" spans="2:12" ht="18" customHeight="1" x14ac:dyDescent="0.2">
      <c r="B12" t="s">
        <v>228</v>
      </c>
      <c r="C12" s="45"/>
      <c r="D12" s="120">
        <f>'P&amp;L'!D8</f>
        <v>630.13920000000007</v>
      </c>
      <c r="E12" s="120">
        <f>'P&amp;L'!E8</f>
        <v>968.83901999999978</v>
      </c>
      <c r="F12" s="120">
        <f>'P&amp;L'!F8</f>
        <v>1324.0799939999997</v>
      </c>
      <c r="G12" s="120">
        <f>'P&amp;L'!G8</f>
        <v>1727.2141045312492</v>
      </c>
      <c r="H12" s="120">
        <f>'P&amp;L'!H8</f>
        <v>2162.2793816024987</v>
      </c>
    </row>
    <row r="13" spans="2:12" ht="18" customHeight="1" x14ac:dyDescent="0.2">
      <c r="B13" t="s">
        <v>157</v>
      </c>
      <c r="C13" s="45"/>
      <c r="D13" s="120">
        <f>'P&amp;L'!D12</f>
        <v>2100</v>
      </c>
      <c r="E13" s="120">
        <f>'P&amp;L'!E12</f>
        <v>4200</v>
      </c>
      <c r="F13" s="120">
        <f>'P&amp;L'!F12</f>
        <v>5250</v>
      </c>
      <c r="G13" s="120">
        <f>'P&amp;L'!G12</f>
        <v>7350</v>
      </c>
      <c r="H13" s="120">
        <f>'P&amp;L'!H12</f>
        <v>7350</v>
      </c>
    </row>
    <row r="14" spans="2:12" ht="18" customHeight="1" x14ac:dyDescent="0.2">
      <c r="B14" t="s">
        <v>229</v>
      </c>
      <c r="C14" s="45"/>
      <c r="D14" s="120">
        <f>'P&amp;L'!D9</f>
        <v>1500</v>
      </c>
      <c r="E14" s="120">
        <f>'P&amp;L'!E9</f>
        <v>2401.875</v>
      </c>
      <c r="F14" s="120">
        <f>'P&amp;L'!F9</f>
        <v>3555.5625</v>
      </c>
      <c r="G14" s="120">
        <f>'P&amp;L'!G9</f>
        <v>5469.7781249999998</v>
      </c>
      <c r="H14" s="120">
        <f>'P&amp;L'!H9</f>
        <v>6381.4078124999996</v>
      </c>
    </row>
    <row r="15" spans="2:12" ht="18" customHeight="1" x14ac:dyDescent="0.2">
      <c r="B15" t="s">
        <v>210</v>
      </c>
      <c r="C15" s="45"/>
      <c r="D15" s="83">
        <f>'P&amp;L'!D10</f>
        <v>81.25</v>
      </c>
      <c r="E15" s="83">
        <f>'P&amp;L'!E10</f>
        <v>126.5425</v>
      </c>
      <c r="F15" s="83">
        <f>'P&amp;L'!F10</f>
        <v>184.04504999999997</v>
      </c>
      <c r="G15" s="83">
        <f>'P&amp;L'!G10</f>
        <v>279.45231124999998</v>
      </c>
      <c r="H15" s="83">
        <f>'P&amp;L'!H10</f>
        <v>323.44337861500003</v>
      </c>
    </row>
    <row r="16" spans="2:12" ht="18" customHeight="1" x14ac:dyDescent="0.2">
      <c r="B16" t="s">
        <v>127</v>
      </c>
      <c r="C16" s="45"/>
      <c r="D16" s="83">
        <f>'P&amp;L'!D11</f>
        <v>162.5</v>
      </c>
      <c r="E16" s="83">
        <f>'P&amp;L'!E11</f>
        <v>253.08500000000001</v>
      </c>
      <c r="F16" s="83">
        <f>'P&amp;L'!F11</f>
        <v>368.09009999999995</v>
      </c>
      <c r="G16" s="83">
        <f>'P&amp;L'!G11</f>
        <v>558.90462249999996</v>
      </c>
      <c r="H16" s="83">
        <f>'P&amp;L'!H11</f>
        <v>646.88675723000006</v>
      </c>
    </row>
    <row r="17" spans="2:9" ht="18" customHeight="1" x14ac:dyDescent="0.2">
      <c r="B17" s="2" t="s">
        <v>212</v>
      </c>
      <c r="C17" s="45"/>
      <c r="D17" s="103">
        <f>SUM(D11:D16)</f>
        <v>4982.0892000000003</v>
      </c>
      <c r="E17" s="103">
        <f>SUM(E11:E16)</f>
        <v>8841.5972699999984</v>
      </c>
      <c r="F17" s="103">
        <f t="shared" ref="F17:H17" si="1">SUM(F11:F16)</f>
        <v>12126.780819</v>
      </c>
      <c r="G17" s="103">
        <f t="shared" si="1"/>
        <v>17820.011489531247</v>
      </c>
      <c r="H17" s="103">
        <f t="shared" si="1"/>
        <v>19974.9747468225</v>
      </c>
    </row>
    <row r="18" spans="2:9" ht="20" customHeight="1" x14ac:dyDescent="0.2">
      <c r="B18" s="53" t="s">
        <v>213</v>
      </c>
      <c r="C18" s="47" t="s">
        <v>44</v>
      </c>
      <c r="D18" s="123">
        <f>D9-D17</f>
        <v>3142.9107999999997</v>
      </c>
      <c r="E18" s="123">
        <f t="shared" ref="E18:H18" si="2">E9-E17</f>
        <v>3812.6527300000016</v>
      </c>
      <c r="F18" s="123">
        <f t="shared" si="2"/>
        <v>6277.7241809999978</v>
      </c>
      <c r="G18" s="123">
        <f t="shared" si="2"/>
        <v>10125.219635468751</v>
      </c>
      <c r="H18" s="123">
        <f t="shared" si="2"/>
        <v>12369.363114677501</v>
      </c>
    </row>
    <row r="19" spans="2:9" x14ac:dyDescent="0.2">
      <c r="B19" s="53" t="s">
        <v>230</v>
      </c>
      <c r="C19" s="45" t="s">
        <v>42</v>
      </c>
      <c r="D19" s="182">
        <f>D18/D9</f>
        <v>0.38681979076923073</v>
      </c>
      <c r="E19" s="182">
        <f t="shared" ref="E19:H19" si="3">E18/E9</f>
        <v>0.30129424738724159</v>
      </c>
      <c r="F19" s="182">
        <f t="shared" si="3"/>
        <v>0.3410971488230734</v>
      </c>
      <c r="G19" s="182">
        <f t="shared" si="3"/>
        <v>0.36232370346762527</v>
      </c>
      <c r="H19" s="182">
        <f t="shared" si="3"/>
        <v>0.38242746435693642</v>
      </c>
    </row>
    <row r="20" spans="2:9" ht="20" customHeight="1" x14ac:dyDescent="0.2">
      <c r="B20" t="s">
        <v>231</v>
      </c>
      <c r="C20" s="45" t="s">
        <v>44</v>
      </c>
      <c r="D20" s="120">
        <f>'P&amp;L'!D17</f>
        <v>450</v>
      </c>
      <c r="E20" s="120">
        <f>'P&amp;L'!E17</f>
        <v>495.00000000000006</v>
      </c>
      <c r="F20" s="120">
        <f>'P&amp;L'!F17</f>
        <v>544.50000000000011</v>
      </c>
      <c r="G20" s="120">
        <f>'P&amp;L'!G17</f>
        <v>598.95000000000016</v>
      </c>
      <c r="H20" s="120">
        <f>'P&amp;L'!H17</f>
        <v>658.84500000000025</v>
      </c>
    </row>
    <row r="21" spans="2:9" ht="18" customHeight="1" x14ac:dyDescent="0.2">
      <c r="B21" t="str">
        <f>'Tech &amp; Other costs'!B19</f>
        <v>General &amp; Administrative costs per year</v>
      </c>
      <c r="C21" s="45"/>
      <c r="D21" s="120">
        <f>'P&amp;L'!D16</f>
        <v>300</v>
      </c>
      <c r="E21" s="120">
        <f>'P&amp;L'!E16</f>
        <v>330</v>
      </c>
      <c r="F21" s="120">
        <f>'P&amp;L'!F16</f>
        <v>363.00000000000006</v>
      </c>
      <c r="G21" s="120">
        <f>'P&amp;L'!G16</f>
        <v>399.30000000000007</v>
      </c>
      <c r="H21" s="120">
        <f>'P&amp;L'!H16</f>
        <v>439.23000000000013</v>
      </c>
    </row>
    <row r="22" spans="2:9" ht="18" customHeight="1" x14ac:dyDescent="0.2">
      <c r="B22" t="s">
        <v>218</v>
      </c>
      <c r="C22" s="45"/>
      <c r="D22" s="120">
        <f>'P&amp;L'!D20</f>
        <v>30</v>
      </c>
      <c r="E22" s="120"/>
      <c r="F22" s="120"/>
      <c r="G22" s="120"/>
      <c r="H22" s="120"/>
    </row>
    <row r="23" spans="2:9" ht="18" customHeight="1" x14ac:dyDescent="0.2">
      <c r="B23" s="2" t="s">
        <v>232</v>
      </c>
      <c r="C23" s="45"/>
      <c r="D23" s="176">
        <f>SUM(D20:D22)</f>
        <v>780</v>
      </c>
      <c r="E23" s="176">
        <f t="shared" ref="E23:H23" si="4">SUM(E20:E22)</f>
        <v>825</v>
      </c>
      <c r="F23" s="176">
        <f t="shared" si="4"/>
        <v>907.50000000000023</v>
      </c>
      <c r="G23" s="176">
        <f t="shared" si="4"/>
        <v>998.25000000000023</v>
      </c>
      <c r="H23" s="176">
        <f t="shared" si="4"/>
        <v>1098.0750000000003</v>
      </c>
      <c r="I23" s="83"/>
    </row>
    <row r="24" spans="2:9" ht="19" customHeight="1" x14ac:dyDescent="0.2">
      <c r="B24" s="53" t="s">
        <v>233</v>
      </c>
      <c r="C24" s="47" t="s">
        <v>44</v>
      </c>
      <c r="D24" s="123">
        <f>D23/D19</f>
        <v>2016.4428465484928</v>
      </c>
      <c r="E24" s="123">
        <f t="shared" ref="E24:H24" si="5">E23/E19</f>
        <v>2738.1870286413405</v>
      </c>
      <c r="F24" s="123">
        <f t="shared" si="5"/>
        <v>2660.5323531177305</v>
      </c>
      <c r="G24" s="123">
        <f t="shared" si="5"/>
        <v>2755.1330217875102</v>
      </c>
      <c r="H24" s="123">
        <f t="shared" si="5"/>
        <v>2871.3288200847373</v>
      </c>
    </row>
    <row r="25" spans="2:9" ht="17" thickBot="1" x14ac:dyDescent="0.25">
      <c r="B25" s="194" t="s">
        <v>234</v>
      </c>
      <c r="C25" s="231" t="s">
        <v>49</v>
      </c>
      <c r="D25" s="193">
        <f>D24/D10*1000</f>
        <v>248.17758111366064</v>
      </c>
      <c r="E25" s="193">
        <f t="shared" ref="E25:H25" si="6">E24/E10*1000</f>
        <v>329.98678062137577</v>
      </c>
      <c r="F25" s="193">
        <f t="shared" si="6"/>
        <v>310.80132604507003</v>
      </c>
      <c r="G25" s="193">
        <f t="shared" si="6"/>
        <v>310.55992987893592</v>
      </c>
      <c r="H25" s="193">
        <f t="shared" si="6"/>
        <v>310.70819607838831</v>
      </c>
    </row>
    <row r="27" spans="2:9" x14ac:dyDescent="0.2">
      <c r="B27" t="s">
        <v>235</v>
      </c>
      <c r="D27">
        <f>ROUNDUP(D25/Leasing!D15,0)</f>
        <v>1</v>
      </c>
      <c r="E27">
        <f>ROUNDUP(E25/Leasing!E15,0)</f>
        <v>1</v>
      </c>
      <c r="F27">
        <f>ROUNDUP(F25/Leasing!F15,0)</f>
        <v>1</v>
      </c>
      <c r="G27">
        <f>ROUNDUP(G25/Leasing!G15,0)</f>
        <v>1</v>
      </c>
      <c r="H27">
        <f>ROUNDUP(H25/Leasing!H15,0)</f>
        <v>1</v>
      </c>
    </row>
    <row r="28" spans="2:9" x14ac:dyDescent="0.2">
      <c r="B28" t="s">
        <v>303</v>
      </c>
      <c r="D28" s="83"/>
      <c r="E28" s="83"/>
    </row>
    <row r="29" spans="2:9" x14ac:dyDescent="0.2">
      <c r="D29" s="83"/>
      <c r="E29" s="83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Drop Down 1">
              <controlPr defaultSize="0" autoLine="0" autoPict="0">
                <anchor moveWithCells="1">
                  <from>
                    <xdr:col>1</xdr:col>
                    <xdr:colOff>1968500</xdr:colOff>
                    <xdr:row>0</xdr:row>
                    <xdr:rowOff>165100</xdr:rowOff>
                  </from>
                  <to>
                    <xdr:col>2</xdr:col>
                    <xdr:colOff>12700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Drop Down 2">
              <controlPr defaultSize="0" autoLine="0" autoPict="0">
                <anchor moveWithCells="1">
                  <from>
                    <xdr:col>2</xdr:col>
                    <xdr:colOff>101600</xdr:colOff>
                    <xdr:row>0</xdr:row>
                    <xdr:rowOff>177800</xdr:rowOff>
                  </from>
                  <to>
                    <xdr:col>3</xdr:col>
                    <xdr:colOff>50800</xdr:colOff>
                    <xdr:row>0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Drop Down 3">
              <controlPr defaultSize="0" autoLine="0" autoPict="0">
                <anchor moveWithCells="1">
                  <from>
                    <xdr:col>1</xdr:col>
                    <xdr:colOff>965200</xdr:colOff>
                    <xdr:row>0</xdr:row>
                    <xdr:rowOff>152400</xdr:rowOff>
                  </from>
                  <to>
                    <xdr:col>1</xdr:col>
                    <xdr:colOff>1854200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1">
    <tabColor rgb="FFB367B9"/>
  </sheetPr>
  <dimension ref="A1:K21"/>
  <sheetViews>
    <sheetView showGridLines="0" zoomScale="85" zoomScaleNormal="110" workbookViewId="0">
      <pane xSplit="2" ySplit="1" topLeftCell="C2" activePane="bottomRight" state="frozenSplit"/>
      <selection pane="topRight" activeCell="O11" sqref="O11"/>
      <selection pane="bottomLeft" activeCell="O11" sqref="O11"/>
      <selection pane="bottomRight" activeCell="G32" sqref="G32"/>
    </sheetView>
  </sheetViews>
  <sheetFormatPr baseColWidth="10" defaultColWidth="11.1640625" defaultRowHeight="16" x14ac:dyDescent="0.2"/>
  <cols>
    <col min="1" max="1" width="2.33203125" customWidth="1"/>
    <col min="2" max="2" width="40.83203125" customWidth="1"/>
    <col min="3" max="3" width="11.33203125" customWidth="1"/>
    <col min="4" max="9" width="10.83203125" customWidth="1"/>
    <col min="10" max="10" width="10.83203125" style="8" customWidth="1"/>
    <col min="11" max="11" width="11.1640625" style="3"/>
  </cols>
  <sheetData>
    <row r="1" spans="1:11" ht="50" customHeight="1" x14ac:dyDescent="0.2">
      <c r="A1" s="5"/>
      <c r="B1" s="67" t="s">
        <v>236</v>
      </c>
      <c r="C1" s="67"/>
      <c r="D1" s="58">
        <f>Cockpit!B8-1</f>
        <v>2024</v>
      </c>
      <c r="E1" s="58">
        <f>D1+1</f>
        <v>2025</v>
      </c>
      <c r="F1" s="58">
        <f t="shared" ref="F1:I1" si="0">E1+1</f>
        <v>2026</v>
      </c>
      <c r="G1" s="58">
        <f t="shared" si="0"/>
        <v>2027</v>
      </c>
      <c r="H1" s="58">
        <f t="shared" si="0"/>
        <v>2028</v>
      </c>
      <c r="I1" s="58">
        <f t="shared" si="0"/>
        <v>2029</v>
      </c>
    </row>
    <row r="2" spans="1:11" ht="29" customHeight="1" x14ac:dyDescent="0.25">
      <c r="B2" s="100"/>
      <c r="C2" s="100"/>
    </row>
    <row r="3" spans="1:11" s="5" customFormat="1" ht="51" customHeight="1" x14ac:dyDescent="0.2">
      <c r="B3" s="273"/>
      <c r="C3" s="273"/>
      <c r="D3" s="83"/>
      <c r="E3" s="83"/>
      <c r="F3" s="83"/>
      <c r="G3" s="83"/>
      <c r="H3" s="83"/>
      <c r="I3" s="83"/>
      <c r="J3" s="270"/>
      <c r="K3" s="3"/>
    </row>
    <row r="4" spans="1:11" s="5" customFormat="1" ht="20" customHeight="1" x14ac:dyDescent="0.2">
      <c r="B4" s="174"/>
      <c r="C4" s="174"/>
      <c r="D4" s="169">
        <v>2024</v>
      </c>
      <c r="E4" s="169">
        <v>2025</v>
      </c>
      <c r="F4" s="169">
        <v>2026</v>
      </c>
      <c r="G4" s="169">
        <v>2027</v>
      </c>
      <c r="H4" s="169">
        <v>2028</v>
      </c>
      <c r="I4" s="169">
        <v>2029</v>
      </c>
      <c r="J4" s="3"/>
    </row>
    <row r="5" spans="1:11" s="5" customFormat="1" ht="20" customHeight="1" x14ac:dyDescent="0.2">
      <c r="B5" t="s">
        <v>216</v>
      </c>
      <c r="C5"/>
      <c r="D5" s="83"/>
      <c r="E5" s="83">
        <f>'P&amp;L'!D18</f>
        <v>2392.9107999999997</v>
      </c>
      <c r="F5" s="83">
        <f>'P&amp;L'!E18</f>
        <v>2987.6527300000016</v>
      </c>
      <c r="G5" s="83">
        <f>'P&amp;L'!F18</f>
        <v>5370.2241809999978</v>
      </c>
      <c r="H5" s="83">
        <f>'P&amp;L'!G18</f>
        <v>9126.9696354687476</v>
      </c>
      <c r="I5" s="83">
        <f>'P&amp;L'!H18</f>
        <v>11271.288114677503</v>
      </c>
      <c r="J5" s="3"/>
    </row>
    <row r="6" spans="1:11" s="5" customFormat="1" ht="18" customHeight="1" x14ac:dyDescent="0.2">
      <c r="B6" s="271" t="s">
        <v>237</v>
      </c>
      <c r="C6" s="271"/>
      <c r="D6" s="83"/>
      <c r="E6" s="83">
        <f>-'P&amp;L'!D25</f>
        <v>560.54019999999991</v>
      </c>
      <c r="F6" s="83">
        <f>-'P&amp;L'!E25</f>
        <v>709.2256825000004</v>
      </c>
      <c r="G6" s="83">
        <f>-'P&amp;L'!F25</f>
        <v>1304.8685452499994</v>
      </c>
      <c r="H6" s="83">
        <f>-'P&amp;L'!G25</f>
        <v>2244.0549088671869</v>
      </c>
      <c r="I6" s="83">
        <f>-'P&amp;L'!H25</f>
        <v>2780.1345286693759</v>
      </c>
      <c r="J6" s="3"/>
    </row>
    <row r="7" spans="1:11" s="5" customFormat="1" ht="18" customHeight="1" x14ac:dyDescent="0.2">
      <c r="B7" s="271" t="s">
        <v>238</v>
      </c>
      <c r="C7" s="271"/>
      <c r="D7" s="83">
        <f>-WCR!D55</f>
        <v>222.60273972602738</v>
      </c>
      <c r="E7" s="83">
        <f>-WCR!E55</f>
        <v>291.4390410958905</v>
      </c>
      <c r="F7" s="83">
        <f>-WCR!F55</f>
        <v>264.61879537671211</v>
      </c>
      <c r="G7" s="83">
        <f>-WCR!G55</f>
        <v>403.6760005993151</v>
      </c>
      <c r="H7" s="83">
        <f>-WCR!H55</f>
        <v>362.51303692037663</v>
      </c>
      <c r="I7" s="83">
        <f>-WCR!I55</f>
        <v>167.13693277785956</v>
      </c>
      <c r="J7" s="3"/>
    </row>
    <row r="8" spans="1:11" s="5" customFormat="1" ht="18" customHeight="1" x14ac:dyDescent="0.2">
      <c r="B8" s="53" t="s">
        <v>239</v>
      </c>
      <c r="C8" s="53"/>
      <c r="D8" s="86"/>
      <c r="E8" s="86"/>
      <c r="F8" s="86"/>
      <c r="G8" s="86"/>
      <c r="H8" s="86"/>
      <c r="I8" s="86"/>
      <c r="J8" s="3"/>
    </row>
    <row r="9" spans="1:11" s="5" customFormat="1" ht="20" customHeight="1" x14ac:dyDescent="0.2">
      <c r="B9" s="271" t="s">
        <v>240</v>
      </c>
      <c r="C9" s="271"/>
      <c r="D9" s="83"/>
      <c r="E9" s="83">
        <f>-CAPEX!D6</f>
        <v>-150</v>
      </c>
      <c r="F9" s="83"/>
      <c r="G9" s="83"/>
      <c r="H9" s="83"/>
      <c r="I9" s="270"/>
      <c r="J9" s="3"/>
    </row>
    <row r="10" spans="1:11" s="5" customFormat="1" ht="18" customHeight="1" x14ac:dyDescent="0.2">
      <c r="B10" s="271" t="s">
        <v>241</v>
      </c>
      <c r="C10" s="271"/>
      <c r="D10" s="83"/>
      <c r="E10" s="83"/>
      <c r="F10" s="83"/>
      <c r="G10" s="83"/>
      <c r="H10" s="83"/>
      <c r="I10" s="83"/>
      <c r="J10" s="3"/>
    </row>
    <row r="11" spans="1:11" s="5" customFormat="1" ht="18" customHeight="1" x14ac:dyDescent="0.2">
      <c r="B11" s="272" t="s">
        <v>242</v>
      </c>
      <c r="C11" s="272"/>
      <c r="D11" s="86"/>
      <c r="E11" s="86"/>
      <c r="F11" s="86"/>
      <c r="G11" s="86"/>
      <c r="H11" s="86"/>
      <c r="I11" s="86"/>
      <c r="J11" s="3"/>
    </row>
    <row r="12" spans="1:11" s="5" customFormat="1" ht="18" customHeight="1" x14ac:dyDescent="0.2">
      <c r="B12" t="s">
        <v>243</v>
      </c>
      <c r="C12"/>
      <c r="D12" s="71"/>
      <c r="E12" s="83"/>
      <c r="F12" s="83"/>
      <c r="G12" s="83"/>
      <c r="H12" s="83"/>
      <c r="I12" s="270"/>
      <c r="J12" s="3"/>
    </row>
    <row r="13" spans="1:11" s="5" customFormat="1" ht="18" customHeight="1" x14ac:dyDescent="0.2">
      <c r="B13" t="s">
        <v>244</v>
      </c>
      <c r="C13"/>
      <c r="D13" s="83"/>
      <c r="E13" s="83"/>
      <c r="F13" s="83"/>
      <c r="G13" s="83"/>
      <c r="H13" s="83"/>
      <c r="I13" s="270"/>
      <c r="J13" s="3"/>
    </row>
    <row r="14" spans="1:11" s="5" customFormat="1" ht="18" customHeight="1" x14ac:dyDescent="0.2">
      <c r="B14" t="s">
        <v>245</v>
      </c>
      <c r="C14"/>
      <c r="D14" s="83"/>
      <c r="E14" s="83"/>
      <c r="F14" s="83"/>
      <c r="G14" s="83"/>
      <c r="H14" s="83"/>
      <c r="I14" s="83"/>
      <c r="J14" s="3"/>
    </row>
    <row r="15" spans="1:11" s="5" customFormat="1" ht="18" customHeight="1" x14ac:dyDescent="0.2">
      <c r="B15" t="s">
        <v>246</v>
      </c>
      <c r="C15"/>
      <c r="D15" s="83"/>
      <c r="E15" s="83"/>
      <c r="F15" s="83"/>
      <c r="G15" s="83"/>
      <c r="H15" s="83"/>
      <c r="I15" s="83"/>
      <c r="J15" s="3"/>
    </row>
    <row r="16" spans="1:11" s="5" customFormat="1" ht="18" customHeight="1" x14ac:dyDescent="0.2">
      <c r="B16" s="53" t="s">
        <v>247</v>
      </c>
      <c r="C16" s="53"/>
      <c r="D16" s="86"/>
      <c r="E16" s="86"/>
      <c r="F16" s="86"/>
      <c r="G16" s="86"/>
      <c r="H16" s="86"/>
      <c r="I16" s="86"/>
      <c r="J16" s="3"/>
    </row>
    <row r="17" spans="2:11" s="5" customFormat="1" ht="18" customHeight="1" thickBot="1" x14ac:dyDescent="0.25">
      <c r="B17" s="199" t="s">
        <v>248</v>
      </c>
      <c r="C17" s="199"/>
      <c r="D17" s="263"/>
      <c r="E17" s="263"/>
      <c r="F17" s="263"/>
      <c r="G17" s="263"/>
      <c r="H17" s="263"/>
      <c r="I17" s="263"/>
      <c r="J17" s="3"/>
    </row>
    <row r="18" spans="2:11" s="5" customFormat="1" ht="20" customHeight="1" x14ac:dyDescent="0.2">
      <c r="B18" t="e">
        <f>#REF!</f>
        <v>#REF!</v>
      </c>
      <c r="C18"/>
      <c r="D18" s="83"/>
      <c r="E18" s="83"/>
      <c r="F18" s="83"/>
      <c r="G18" s="83"/>
      <c r="H18" s="83"/>
      <c r="I18" s="83"/>
      <c r="J18" s="3"/>
    </row>
    <row r="19" spans="2:11" s="51" customFormat="1" ht="20" customHeight="1" thickBot="1" x14ac:dyDescent="0.25">
      <c r="B19" s="201" t="e">
        <f>#REF!</f>
        <v>#REF!</v>
      </c>
      <c r="C19" s="201"/>
      <c r="D19" s="269"/>
      <c r="E19" s="269"/>
      <c r="F19" s="269"/>
      <c r="G19" s="269"/>
      <c r="H19" s="269"/>
      <c r="I19" s="269"/>
      <c r="J19" s="121"/>
    </row>
    <row r="20" spans="2:11" s="5" customFormat="1" ht="18" customHeight="1" x14ac:dyDescent="0.2">
      <c r="B20"/>
      <c r="C20"/>
      <c r="D20" s="83"/>
      <c r="E20" s="83"/>
      <c r="F20" s="83"/>
      <c r="G20" s="83"/>
      <c r="H20" s="83"/>
      <c r="I20" s="83"/>
      <c r="J20" s="270"/>
      <c r="K20" s="3"/>
    </row>
    <row r="21" spans="2:11" s="5" customFormat="1" x14ac:dyDescent="0.2">
      <c r="B21"/>
      <c r="C21"/>
      <c r="D21" s="83"/>
      <c r="E21" s="83"/>
      <c r="F21" s="83"/>
      <c r="G21" s="83"/>
      <c r="H21" s="83"/>
      <c r="I21" s="83"/>
      <c r="J21" s="270"/>
      <c r="K21" s="3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Drop Down 1">
              <controlPr defaultSize="0" autoLine="0" autoPict="0">
                <anchor moveWithCells="1">
                  <from>
                    <xdr:col>1</xdr:col>
                    <xdr:colOff>1739900</xdr:colOff>
                    <xdr:row>0</xdr:row>
                    <xdr:rowOff>165100</xdr:rowOff>
                  </from>
                  <to>
                    <xdr:col>1</xdr:col>
                    <xdr:colOff>2882900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Drop Down 2">
              <controlPr defaultSize="0" autoLine="0" autoPict="0">
                <anchor moveWithCells="1">
                  <from>
                    <xdr:col>1</xdr:col>
                    <xdr:colOff>2921000</xdr:colOff>
                    <xdr:row>0</xdr:row>
                    <xdr:rowOff>165100</xdr:rowOff>
                  </from>
                  <to>
                    <xdr:col>3</xdr:col>
                    <xdr:colOff>114300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Drop Down 3">
              <controlPr defaultSize="0" autoLine="0" autoPict="0">
                <anchor moveWithCells="1">
                  <from>
                    <xdr:col>1</xdr:col>
                    <xdr:colOff>825500</xdr:colOff>
                    <xdr:row>0</xdr:row>
                    <xdr:rowOff>139700</xdr:rowOff>
                  </from>
                  <to>
                    <xdr:col>1</xdr:col>
                    <xdr:colOff>1714500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B367B9"/>
  </sheetPr>
  <dimension ref="A1:AY46"/>
  <sheetViews>
    <sheetView showGridLines="0" zoomScale="88" zoomScaleNormal="120" workbookViewId="0">
      <pane ySplit="1" topLeftCell="A3" activePane="bottomLeft" state="frozen"/>
      <selection activeCell="J18" sqref="J18"/>
      <selection pane="bottomLeft"/>
    </sheetView>
  </sheetViews>
  <sheetFormatPr baseColWidth="10" defaultColWidth="8.83203125" defaultRowHeight="16" x14ac:dyDescent="0.2"/>
  <cols>
    <col min="1" max="1" width="2.83203125" customWidth="1"/>
    <col min="2" max="2" width="35.6640625" customWidth="1"/>
    <col min="3" max="9" width="10.83203125" customWidth="1"/>
  </cols>
  <sheetData>
    <row r="1" spans="1:51" ht="37.5" customHeight="1" x14ac:dyDescent="0.2">
      <c r="A1" s="57"/>
      <c r="B1" s="84"/>
      <c r="C1" s="88"/>
      <c r="D1" s="88"/>
      <c r="E1" s="64">
        <f>E6</f>
        <v>2025</v>
      </c>
      <c r="F1" s="64">
        <f t="shared" ref="F1:I1" si="0">F6</f>
        <v>2026</v>
      </c>
      <c r="G1" s="64">
        <f t="shared" si="0"/>
        <v>2027</v>
      </c>
      <c r="H1" s="64">
        <f t="shared" si="0"/>
        <v>2028</v>
      </c>
      <c r="I1" s="64">
        <f t="shared" si="0"/>
        <v>2029</v>
      </c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</row>
    <row r="2" spans="1:51" x14ac:dyDescent="0.2">
      <c r="A2" s="57"/>
      <c r="B2" s="84"/>
      <c r="C2" s="88"/>
      <c r="D2" s="88"/>
      <c r="E2" s="89"/>
      <c r="F2" s="89"/>
      <c r="G2" s="89"/>
      <c r="H2" s="89"/>
      <c r="I2" s="89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</row>
    <row r="3" spans="1:51" ht="45" customHeight="1" x14ac:dyDescent="0.2">
      <c r="A3" s="57"/>
      <c r="B3" s="84"/>
      <c r="C3" s="88"/>
      <c r="D3" s="88"/>
      <c r="E3" s="89"/>
      <c r="F3" s="89"/>
      <c r="G3" s="89"/>
      <c r="H3" s="89"/>
      <c r="I3" s="8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</row>
    <row r="4" spans="1:51" ht="21" customHeight="1" x14ac:dyDescent="0.2">
      <c r="C4" s="9"/>
      <c r="D4" s="9"/>
    </row>
    <row r="5" spans="1:51" x14ac:dyDescent="0.2">
      <c r="C5" s="353" t="s">
        <v>249</v>
      </c>
      <c r="D5" s="354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</row>
    <row r="6" spans="1:51" ht="18" customHeight="1" x14ac:dyDescent="0.2">
      <c r="B6" s="274" t="s">
        <v>250</v>
      </c>
      <c r="C6" s="276" t="s">
        <v>251</v>
      </c>
      <c r="D6" s="276" t="s">
        <v>252</v>
      </c>
      <c r="E6" s="177">
        <v>2025</v>
      </c>
      <c r="F6" s="177">
        <v>2026</v>
      </c>
      <c r="G6" s="177">
        <v>2027</v>
      </c>
      <c r="H6" s="177">
        <v>2028</v>
      </c>
      <c r="I6" s="177">
        <v>2029</v>
      </c>
      <c r="J6" s="83"/>
      <c r="K6" s="83"/>
      <c r="L6" s="83"/>
      <c r="M6" s="83"/>
      <c r="N6" s="83"/>
      <c r="O6" s="83"/>
      <c r="P6" s="83"/>
      <c r="Q6" s="83"/>
    </row>
    <row r="7" spans="1:51" ht="18" customHeight="1" x14ac:dyDescent="0.2">
      <c r="B7" s="281" t="s">
        <v>253</v>
      </c>
      <c r="C7" s="82">
        <f>Fundings!G8</f>
        <v>650</v>
      </c>
      <c r="D7" s="82">
        <f>D37-D13-D17</f>
        <v>4321.782739726028</v>
      </c>
      <c r="E7" s="82">
        <f t="shared" ref="E7:I7" si="1">E37-E13-E17</f>
        <v>5586.5368058219174</v>
      </c>
      <c r="F7" s="82">
        <f t="shared" si="1"/>
        <v>7603.4579061986315</v>
      </c>
      <c r="G7" s="82">
        <f t="shared" si="1"/>
        <v>11152.773627422945</v>
      </c>
      <c r="H7" s="82">
        <f t="shared" si="1"/>
        <v>18209.821881882381</v>
      </c>
      <c r="I7" s="82">
        <f t="shared" si="1"/>
        <v>26700.698039415242</v>
      </c>
      <c r="J7" s="83"/>
      <c r="K7" s="83"/>
      <c r="L7" s="83"/>
      <c r="M7" s="83"/>
      <c r="N7" s="83"/>
      <c r="O7" s="83"/>
      <c r="P7" s="83"/>
      <c r="Q7" s="83"/>
    </row>
    <row r="8" spans="1:51" ht="18" customHeight="1" x14ac:dyDescent="0.2">
      <c r="B8" s="281" t="s">
        <v>254</v>
      </c>
      <c r="C8" s="82"/>
      <c r="D8" s="82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</row>
    <row r="9" spans="1:51" ht="18" customHeight="1" x14ac:dyDescent="0.2">
      <c r="B9" s="281" t="s">
        <v>255</v>
      </c>
      <c r="C9" s="82"/>
      <c r="D9" s="82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</row>
    <row r="10" spans="1:51" ht="18" customHeight="1" x14ac:dyDescent="0.2">
      <c r="B10" s="53" t="s">
        <v>256</v>
      </c>
      <c r="C10" s="168">
        <f>SUM(C7:C9)</f>
        <v>650</v>
      </c>
      <c r="D10" s="168">
        <f t="shared" ref="D10:I10" si="2">SUM(D7:D9)</f>
        <v>4321.782739726028</v>
      </c>
      <c r="E10" s="168">
        <f t="shared" si="2"/>
        <v>5586.5368058219174</v>
      </c>
      <c r="F10" s="168">
        <f t="shared" si="2"/>
        <v>7603.4579061986315</v>
      </c>
      <c r="G10" s="168">
        <f t="shared" si="2"/>
        <v>11152.773627422945</v>
      </c>
      <c r="H10" s="168">
        <f t="shared" si="2"/>
        <v>18209.821881882381</v>
      </c>
      <c r="I10" s="168">
        <f t="shared" si="2"/>
        <v>26700.698039415242</v>
      </c>
      <c r="J10" s="83"/>
      <c r="K10" s="83"/>
      <c r="L10" s="83"/>
      <c r="M10" s="83"/>
      <c r="N10" s="83"/>
      <c r="O10" s="83"/>
      <c r="P10" s="83"/>
      <c r="Q10" s="83"/>
    </row>
    <row r="11" spans="1:51" ht="18" customHeight="1" x14ac:dyDescent="0.2">
      <c r="B11" s="281" t="s">
        <v>144</v>
      </c>
      <c r="C11" s="82"/>
      <c r="D11" s="82">
        <f>WCR!D61</f>
        <v>700</v>
      </c>
      <c r="E11" s="82">
        <f>WCR!E61</f>
        <v>1400</v>
      </c>
      <c r="F11" s="82">
        <f>WCR!F61</f>
        <v>1750</v>
      </c>
      <c r="G11" s="82">
        <f>WCR!G61</f>
        <v>2450</v>
      </c>
      <c r="H11" s="82">
        <f>WCR!H61</f>
        <v>2450</v>
      </c>
      <c r="I11" s="82">
        <f>WCR!I61</f>
        <v>2450</v>
      </c>
      <c r="J11" s="82"/>
      <c r="L11" s="83"/>
      <c r="M11" s="83"/>
      <c r="N11" s="83"/>
      <c r="O11" s="83"/>
      <c r="P11" s="83"/>
      <c r="Q11" s="83"/>
    </row>
    <row r="12" spans="1:51" ht="18" customHeight="1" x14ac:dyDescent="0.2">
      <c r="B12" s="281" t="s">
        <v>257</v>
      </c>
      <c r="C12" s="82"/>
      <c r="D12" s="82">
        <f>WCR!D60</f>
        <v>50.82</v>
      </c>
      <c r="E12" s="82">
        <f>WCR!E60</f>
        <v>89.125575000000026</v>
      </c>
      <c r="F12" s="82">
        <f>WCR!F60</f>
        <v>144.50031749999999</v>
      </c>
      <c r="G12" s="82">
        <f>WCR!G60</f>
        <v>243.46623262499998</v>
      </c>
      <c r="H12" s="82">
        <f>WCR!H60</f>
        <v>311.09574168749992</v>
      </c>
      <c r="I12" s="82">
        <f>WCR!I60</f>
        <v>357.76010294062496</v>
      </c>
      <c r="J12" s="82"/>
      <c r="K12" s="83"/>
      <c r="L12" s="83"/>
      <c r="M12" s="83"/>
      <c r="N12" s="83"/>
      <c r="O12" s="83"/>
      <c r="P12" s="83"/>
      <c r="Q12" s="83"/>
    </row>
    <row r="13" spans="1:51" ht="18" customHeight="1" x14ac:dyDescent="0.2">
      <c r="B13" s="53" t="s">
        <v>297</v>
      </c>
      <c r="C13" s="168">
        <f>SUM(C11:C12)</f>
        <v>0</v>
      </c>
      <c r="D13" s="168">
        <f t="shared" ref="D13:I13" si="3">SUM(D11:D12)</f>
        <v>750.82</v>
      </c>
      <c r="E13" s="168">
        <f t="shared" si="3"/>
        <v>1489.125575</v>
      </c>
      <c r="F13" s="168">
        <f t="shared" si="3"/>
        <v>1894.5003174999999</v>
      </c>
      <c r="G13" s="168">
        <f t="shared" si="3"/>
        <v>2693.466232625</v>
      </c>
      <c r="H13" s="168">
        <f t="shared" si="3"/>
        <v>2761.0957416874999</v>
      </c>
      <c r="I13" s="168">
        <f t="shared" si="3"/>
        <v>2807.7601029406251</v>
      </c>
      <c r="J13" s="83"/>
      <c r="K13" s="83"/>
      <c r="L13" s="83"/>
      <c r="M13" s="83"/>
      <c r="N13" s="83"/>
      <c r="O13" s="83"/>
      <c r="P13" s="83"/>
      <c r="Q13" s="83"/>
    </row>
    <row r="14" spans="1:51" ht="18" customHeight="1" x14ac:dyDescent="0.2">
      <c r="A14" s="91"/>
      <c r="B14" s="277" t="s">
        <v>258</v>
      </c>
      <c r="C14" s="82"/>
      <c r="D14" s="82">
        <f>CAPEX!D6</f>
        <v>150</v>
      </c>
      <c r="E14" s="83">
        <f>D14-'P&amp;L'!D20</f>
        <v>120</v>
      </c>
      <c r="F14" s="83">
        <f>E14-'P&amp;L'!E20</f>
        <v>90</v>
      </c>
      <c r="G14" s="83">
        <f>F14-'P&amp;L'!F20</f>
        <v>60</v>
      </c>
      <c r="H14" s="83">
        <f>G14-'P&amp;L'!G20</f>
        <v>30</v>
      </c>
      <c r="I14" s="83">
        <f>H14-'P&amp;L'!H20</f>
        <v>0</v>
      </c>
      <c r="J14" s="92"/>
      <c r="K14" s="92"/>
      <c r="L14" s="92"/>
      <c r="M14" s="92"/>
      <c r="N14" s="92"/>
      <c r="O14" s="92"/>
      <c r="P14" s="92"/>
      <c r="Q14" s="92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</row>
    <row r="15" spans="1:51" ht="18" customHeight="1" x14ac:dyDescent="0.2">
      <c r="A15" s="91"/>
      <c r="B15" s="277" t="s">
        <v>259</v>
      </c>
      <c r="C15" s="82">
        <f>Fundings!G6</f>
        <v>50</v>
      </c>
      <c r="D15" s="82">
        <f>C15</f>
        <v>50</v>
      </c>
      <c r="E15" s="82">
        <f t="shared" ref="E15:I15" si="4">D15</f>
        <v>50</v>
      </c>
      <c r="F15" s="82">
        <f t="shared" si="4"/>
        <v>50</v>
      </c>
      <c r="G15" s="82">
        <f t="shared" si="4"/>
        <v>50</v>
      </c>
      <c r="H15" s="82">
        <f t="shared" si="4"/>
        <v>50</v>
      </c>
      <c r="I15" s="82">
        <f t="shared" si="4"/>
        <v>50</v>
      </c>
      <c r="J15" s="92"/>
      <c r="K15" s="92"/>
      <c r="L15" s="92"/>
      <c r="M15" s="92"/>
      <c r="N15" s="92"/>
      <c r="O15" s="92"/>
      <c r="P15" s="92"/>
      <c r="Q15" s="92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</row>
    <row r="16" spans="1:51" ht="18" customHeight="1" x14ac:dyDescent="0.2">
      <c r="A16" s="91"/>
      <c r="B16" s="277" t="s">
        <v>260</v>
      </c>
      <c r="C16" s="82">
        <f>Fundings!G7</f>
        <v>300</v>
      </c>
      <c r="D16" s="82">
        <f>C16</f>
        <v>300</v>
      </c>
      <c r="E16" s="82">
        <f t="shared" ref="E16:I16" si="5">D16</f>
        <v>300</v>
      </c>
      <c r="F16" s="82">
        <f t="shared" si="5"/>
        <v>300</v>
      </c>
      <c r="G16" s="82">
        <f t="shared" si="5"/>
        <v>300</v>
      </c>
      <c r="H16" s="82">
        <f t="shared" si="5"/>
        <v>300</v>
      </c>
      <c r="I16" s="82">
        <f t="shared" si="5"/>
        <v>300</v>
      </c>
      <c r="J16" s="92"/>
      <c r="K16" s="92"/>
      <c r="L16" s="92"/>
      <c r="M16" s="92"/>
      <c r="N16" s="92"/>
      <c r="O16" s="92"/>
      <c r="P16" s="92"/>
      <c r="Q16" s="92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</row>
    <row r="17" spans="2:17" ht="18" customHeight="1" x14ac:dyDescent="0.2">
      <c r="B17" s="349" t="s">
        <v>298</v>
      </c>
      <c r="C17" s="168">
        <f>SUM(C14:C16)</f>
        <v>350</v>
      </c>
      <c r="D17" s="168">
        <f t="shared" ref="D17:I17" si="6">SUM(D14:D16)</f>
        <v>500</v>
      </c>
      <c r="E17" s="168">
        <f t="shared" si="6"/>
        <v>470</v>
      </c>
      <c r="F17" s="168">
        <f t="shared" si="6"/>
        <v>440</v>
      </c>
      <c r="G17" s="168">
        <f t="shared" si="6"/>
        <v>410</v>
      </c>
      <c r="H17" s="168">
        <f t="shared" si="6"/>
        <v>380</v>
      </c>
      <c r="I17" s="168">
        <f t="shared" si="6"/>
        <v>350</v>
      </c>
      <c r="J17" s="83"/>
      <c r="K17" s="83"/>
      <c r="L17" s="83"/>
      <c r="M17" s="83"/>
      <c r="N17" s="83"/>
      <c r="O17" s="83"/>
      <c r="P17" s="83"/>
      <c r="Q17" s="83"/>
    </row>
    <row r="18" spans="2:17" ht="20" customHeight="1" x14ac:dyDescent="0.2">
      <c r="B18" s="93" t="s">
        <v>261</v>
      </c>
      <c r="C18" s="94">
        <f>C10+C13+C17</f>
        <v>1000</v>
      </c>
      <c r="D18" s="94">
        <f t="shared" ref="D18:I18" si="7">D10+D13+D17</f>
        <v>5572.6027397260277</v>
      </c>
      <c r="E18" s="94">
        <f t="shared" si="7"/>
        <v>7545.6623808219174</v>
      </c>
      <c r="F18" s="94">
        <f t="shared" si="7"/>
        <v>9937.9582236986316</v>
      </c>
      <c r="G18" s="94">
        <f t="shared" si="7"/>
        <v>14256.239860047945</v>
      </c>
      <c r="H18" s="94">
        <f t="shared" si="7"/>
        <v>21350.91762356988</v>
      </c>
      <c r="I18" s="94">
        <f t="shared" si="7"/>
        <v>29858.458142355867</v>
      </c>
      <c r="J18" s="83"/>
      <c r="K18" s="83"/>
      <c r="L18" s="83"/>
      <c r="M18" s="83"/>
      <c r="N18" s="83"/>
      <c r="O18" s="83"/>
      <c r="P18" s="83"/>
      <c r="Q18" s="83"/>
    </row>
    <row r="19" spans="2:17" ht="18" customHeight="1" x14ac:dyDescent="0.2">
      <c r="C19" s="82"/>
      <c r="D19" s="82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</row>
    <row r="20" spans="2:17" ht="18" customHeight="1" x14ac:dyDescent="0.2">
      <c r="C20" s="353" t="s">
        <v>249</v>
      </c>
      <c r="D20" s="354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</row>
    <row r="21" spans="2:17" ht="20" customHeight="1" x14ac:dyDescent="0.2">
      <c r="B21" s="274" t="s">
        <v>262</v>
      </c>
      <c r="C21" s="177" t="str">
        <f>C6</f>
        <v>Round 1</v>
      </c>
      <c r="D21" s="177" t="str">
        <f t="shared" ref="D21:I21" si="8">D6</f>
        <v>Round 2 &amp; 3</v>
      </c>
      <c r="E21" s="177">
        <f t="shared" si="8"/>
        <v>2025</v>
      </c>
      <c r="F21" s="177">
        <f t="shared" si="8"/>
        <v>2026</v>
      </c>
      <c r="G21" s="177">
        <f t="shared" si="8"/>
        <v>2027</v>
      </c>
      <c r="H21" s="177">
        <f t="shared" si="8"/>
        <v>2028</v>
      </c>
      <c r="I21" s="177">
        <f t="shared" si="8"/>
        <v>2029</v>
      </c>
      <c r="J21" s="83"/>
      <c r="K21" s="83"/>
      <c r="L21" s="83"/>
      <c r="M21" s="83"/>
      <c r="N21" s="83"/>
      <c r="O21" s="83"/>
      <c r="P21" s="83"/>
      <c r="Q21" s="83"/>
    </row>
    <row r="22" spans="2:17" ht="20" customHeight="1" x14ac:dyDescent="0.2">
      <c r="B22" s="277" t="s">
        <v>263</v>
      </c>
      <c r="C22" s="82"/>
      <c r="D22" s="82">
        <f>WCR!D52</f>
        <v>0</v>
      </c>
      <c r="E22" s="82">
        <f>WCR!E52</f>
        <v>42.35</v>
      </c>
      <c r="F22" s="82">
        <f>WCR!F52</f>
        <v>74.271312500000008</v>
      </c>
      <c r="G22" s="82">
        <f>WCR!G52</f>
        <v>120.41693124999999</v>
      </c>
      <c r="H22" s="82">
        <f>WCR!H52</f>
        <v>202.88852718749999</v>
      </c>
      <c r="I22" s="82">
        <f>WCR!I52</f>
        <v>259.24645140624995</v>
      </c>
      <c r="J22" s="83"/>
      <c r="K22" s="83"/>
      <c r="L22" s="83"/>
      <c r="M22" s="83"/>
      <c r="N22" s="83"/>
      <c r="O22" s="83"/>
      <c r="P22" s="83"/>
      <c r="Q22" s="83"/>
    </row>
    <row r="23" spans="2:17" ht="18" customHeight="1" x14ac:dyDescent="0.2">
      <c r="B23" s="277" t="s">
        <v>264</v>
      </c>
      <c r="C23" s="82"/>
      <c r="D23" s="82">
        <f>WCR!D53</f>
        <v>0</v>
      </c>
      <c r="E23" s="82">
        <f>WCR!E53</f>
        <v>125</v>
      </c>
      <c r="F23" s="82">
        <f>WCR!F53</f>
        <v>200.15625</v>
      </c>
      <c r="G23" s="82">
        <f>WCR!G53</f>
        <v>296.296875</v>
      </c>
      <c r="H23" s="82">
        <f>WCR!H53</f>
        <v>455.81484374999997</v>
      </c>
      <c r="I23" s="82">
        <f>WCR!I53</f>
        <v>531.78398437499993</v>
      </c>
      <c r="J23" s="83"/>
      <c r="K23" s="83"/>
      <c r="L23" s="83"/>
      <c r="M23" s="83"/>
      <c r="N23" s="83"/>
      <c r="O23" s="83"/>
      <c r="P23" s="83"/>
      <c r="Q23" s="83"/>
    </row>
    <row r="24" spans="2:17" ht="18" customHeight="1" x14ac:dyDescent="0.2">
      <c r="B24" s="277" t="s">
        <v>265</v>
      </c>
      <c r="C24" s="82"/>
      <c r="D24" s="82">
        <f>WCR!D51</f>
        <v>222.60273972602738</v>
      </c>
      <c r="E24" s="82">
        <f>WCR!E51</f>
        <v>346.6917808219178</v>
      </c>
      <c r="F24" s="82">
        <f>WCR!F51</f>
        <v>504.23301369863003</v>
      </c>
      <c r="G24" s="82">
        <f>WCR!G51</f>
        <v>765.62277054794515</v>
      </c>
      <c r="H24" s="82">
        <f>WCR!H51</f>
        <v>886.14624278082192</v>
      </c>
      <c r="I24" s="82">
        <f>WCR!I51</f>
        <v>920.95611071493147</v>
      </c>
      <c r="J24" s="83"/>
      <c r="K24" s="83"/>
      <c r="L24" s="83"/>
      <c r="M24" s="83"/>
      <c r="N24" s="83"/>
      <c r="O24" s="83"/>
      <c r="P24" s="83"/>
      <c r="Q24" s="83"/>
    </row>
    <row r="25" spans="2:17" ht="18" customHeight="1" x14ac:dyDescent="0.2">
      <c r="B25" s="95" t="s">
        <v>266</v>
      </c>
      <c r="C25" s="168">
        <f>SUM(C22:C24)</f>
        <v>0</v>
      </c>
      <c r="D25" s="168">
        <f t="shared" ref="D25:I25" si="9">SUM(D22:D24)</f>
        <v>222.60273972602738</v>
      </c>
      <c r="E25" s="168">
        <f t="shared" si="9"/>
        <v>514.04178082191777</v>
      </c>
      <c r="F25" s="168">
        <f t="shared" si="9"/>
        <v>778.66057619863</v>
      </c>
      <c r="G25" s="168">
        <f t="shared" si="9"/>
        <v>1182.3365767979451</v>
      </c>
      <c r="H25" s="168">
        <f t="shared" si="9"/>
        <v>1544.849613718322</v>
      </c>
      <c r="I25" s="168">
        <f t="shared" si="9"/>
        <v>1711.9865464961813</v>
      </c>
      <c r="J25" s="83"/>
      <c r="K25" s="83"/>
      <c r="L25" s="83"/>
      <c r="M25" s="83"/>
      <c r="N25" s="83"/>
      <c r="O25" s="83"/>
      <c r="P25" s="83"/>
      <c r="Q25" s="83"/>
    </row>
    <row r="26" spans="2:17" ht="18" customHeight="1" x14ac:dyDescent="0.2">
      <c r="B26" s="277" t="s">
        <v>267</v>
      </c>
      <c r="C26" s="82"/>
      <c r="D26" s="82">
        <f>Fundings!F32</f>
        <v>750</v>
      </c>
      <c r="E26" s="82">
        <f>D26</f>
        <v>750</v>
      </c>
      <c r="F26" s="82">
        <f t="shared" ref="F26:I26" si="10">E26</f>
        <v>750</v>
      </c>
      <c r="G26" s="82">
        <f t="shared" si="10"/>
        <v>750</v>
      </c>
      <c r="H26" s="82">
        <f t="shared" si="10"/>
        <v>750</v>
      </c>
      <c r="I26" s="82">
        <f t="shared" si="10"/>
        <v>750</v>
      </c>
      <c r="J26" s="83"/>
      <c r="K26" s="83"/>
      <c r="L26" s="83"/>
      <c r="M26" s="83"/>
      <c r="N26" s="83"/>
      <c r="O26" s="83"/>
      <c r="P26" s="83"/>
      <c r="Q26" s="83"/>
    </row>
    <row r="27" spans="2:17" ht="18" customHeight="1" x14ac:dyDescent="0.2">
      <c r="B27" s="277" t="s">
        <v>268</v>
      </c>
      <c r="C27" s="82"/>
      <c r="D27" s="82">
        <f>Fundings!G49</f>
        <v>1800</v>
      </c>
      <c r="E27" s="82">
        <f>D27</f>
        <v>1800</v>
      </c>
      <c r="F27" s="82">
        <f t="shared" ref="F27:I27" si="11">E27</f>
        <v>1800</v>
      </c>
      <c r="G27" s="82">
        <f t="shared" si="11"/>
        <v>1800</v>
      </c>
      <c r="H27" s="82">
        <f t="shared" si="11"/>
        <v>1800</v>
      </c>
      <c r="I27" s="82">
        <f t="shared" si="11"/>
        <v>1800</v>
      </c>
      <c r="J27" s="83"/>
      <c r="K27" s="83"/>
      <c r="L27" s="83"/>
      <c r="M27" s="83"/>
      <c r="N27" s="83"/>
      <c r="O27" s="83"/>
      <c r="P27" s="83"/>
      <c r="Q27" s="83"/>
    </row>
    <row r="28" spans="2:17" ht="18" customHeight="1" x14ac:dyDescent="0.2">
      <c r="B28" s="95" t="s">
        <v>269</v>
      </c>
      <c r="C28" s="90">
        <f>SUM(C26:C27)</f>
        <v>0</v>
      </c>
      <c r="D28" s="90">
        <f t="shared" ref="D28:I28" si="12">SUM(D26:D27)</f>
        <v>2550</v>
      </c>
      <c r="E28" s="90">
        <f t="shared" si="12"/>
        <v>2550</v>
      </c>
      <c r="F28" s="90">
        <f t="shared" si="12"/>
        <v>2550</v>
      </c>
      <c r="G28" s="90">
        <f t="shared" si="12"/>
        <v>2550</v>
      </c>
      <c r="H28" s="90">
        <f t="shared" si="12"/>
        <v>2550</v>
      </c>
      <c r="I28" s="90">
        <f t="shared" si="12"/>
        <v>2550</v>
      </c>
      <c r="J28" s="83"/>
      <c r="K28" s="83"/>
      <c r="L28" s="83"/>
      <c r="M28" s="83"/>
      <c r="N28" s="83"/>
      <c r="O28" s="83"/>
      <c r="P28" s="83"/>
      <c r="Q28" s="83"/>
    </row>
    <row r="29" spans="2:17" ht="18" customHeight="1" x14ac:dyDescent="0.2">
      <c r="B29" s="282" t="s">
        <v>270</v>
      </c>
      <c r="C29" s="278">
        <f>C25+C28</f>
        <v>0</v>
      </c>
      <c r="D29" s="278">
        <f t="shared" ref="D29:I29" si="13">D25+D28</f>
        <v>2772.6027397260273</v>
      </c>
      <c r="E29" s="278">
        <f t="shared" si="13"/>
        <v>3064.0417808219177</v>
      </c>
      <c r="F29" s="278">
        <f t="shared" si="13"/>
        <v>3328.6605761986302</v>
      </c>
      <c r="G29" s="278">
        <f t="shared" si="13"/>
        <v>3732.3365767979449</v>
      </c>
      <c r="H29" s="278">
        <f t="shared" si="13"/>
        <v>4094.849613718322</v>
      </c>
      <c r="I29" s="278">
        <f t="shared" si="13"/>
        <v>4261.9865464961813</v>
      </c>
      <c r="J29" s="83"/>
      <c r="K29" s="83"/>
      <c r="L29" s="83"/>
      <c r="M29" s="83"/>
      <c r="N29" s="83"/>
      <c r="O29" s="83"/>
      <c r="P29" s="83"/>
      <c r="Q29" s="83"/>
    </row>
    <row r="30" spans="2:17" ht="18" customHeight="1" x14ac:dyDescent="0.2">
      <c r="B30" s="277" t="s">
        <v>271</v>
      </c>
      <c r="C30" s="82">
        <f>Fundings!G9</f>
        <v>1000</v>
      </c>
      <c r="D30" s="82">
        <f>C30</f>
        <v>1000</v>
      </c>
      <c r="E30" s="82">
        <f t="shared" ref="E30:I30" si="14">D30</f>
        <v>1000</v>
      </c>
      <c r="F30" s="82">
        <f t="shared" si="14"/>
        <v>1000</v>
      </c>
      <c r="G30" s="82">
        <f t="shared" si="14"/>
        <v>1000</v>
      </c>
      <c r="H30" s="82">
        <f t="shared" si="14"/>
        <v>1000</v>
      </c>
      <c r="I30" s="82">
        <f t="shared" si="14"/>
        <v>1000</v>
      </c>
      <c r="J30" s="83"/>
      <c r="K30" s="83"/>
      <c r="L30" s="83"/>
      <c r="M30" s="83"/>
      <c r="N30" s="83"/>
      <c r="O30" s="83"/>
      <c r="P30" s="83"/>
      <c r="Q30" s="83"/>
    </row>
    <row r="31" spans="2:17" ht="18" customHeight="1" x14ac:dyDescent="0.2">
      <c r="B31" s="277" t="s">
        <v>272</v>
      </c>
      <c r="C31" s="82"/>
      <c r="D31" s="82">
        <f>Fundings!F22</f>
        <v>1000</v>
      </c>
      <c r="E31" s="82">
        <f>D31</f>
        <v>1000</v>
      </c>
      <c r="F31" s="82">
        <f t="shared" ref="F31:I31" si="15">E31</f>
        <v>1000</v>
      </c>
      <c r="G31" s="82">
        <f t="shared" si="15"/>
        <v>1000</v>
      </c>
      <c r="H31" s="82">
        <f t="shared" si="15"/>
        <v>1000</v>
      </c>
      <c r="I31" s="82">
        <f t="shared" si="15"/>
        <v>1000</v>
      </c>
      <c r="J31" s="83"/>
      <c r="K31" s="83"/>
      <c r="L31" s="83"/>
      <c r="M31" s="83"/>
      <c r="N31" s="83"/>
      <c r="O31" s="83"/>
      <c r="P31" s="83"/>
      <c r="Q31" s="83"/>
    </row>
    <row r="32" spans="2:17" ht="18" customHeight="1" x14ac:dyDescent="0.2">
      <c r="B32" s="277" t="s">
        <v>273</v>
      </c>
      <c r="C32" s="82">
        <f>Fundings!G9</f>
        <v>1000</v>
      </c>
      <c r="D32" s="82">
        <f>SUM(D30:D31)</f>
        <v>2000</v>
      </c>
      <c r="E32" s="82">
        <f t="shared" ref="E32:I32" si="16">SUM(E30:E31)</f>
        <v>2000</v>
      </c>
      <c r="F32" s="82">
        <f t="shared" si="16"/>
        <v>2000</v>
      </c>
      <c r="G32" s="82">
        <f t="shared" si="16"/>
        <v>2000</v>
      </c>
      <c r="H32" s="82">
        <f t="shared" si="16"/>
        <v>2000</v>
      </c>
      <c r="I32" s="82">
        <f t="shared" si="16"/>
        <v>2000</v>
      </c>
      <c r="J32" s="83"/>
      <c r="K32" s="83"/>
      <c r="L32" s="83"/>
      <c r="M32" s="83"/>
      <c r="N32" s="83"/>
      <c r="O32" s="83"/>
      <c r="P32" s="83"/>
      <c r="Q32" s="83"/>
    </row>
    <row r="33" spans="1:51" ht="18" customHeight="1" x14ac:dyDescent="0.2">
      <c r="B33" s="277" t="s">
        <v>274</v>
      </c>
      <c r="C33" s="82"/>
      <c r="D33" s="82">
        <f>Fundings!G23</f>
        <v>800</v>
      </c>
      <c r="E33" s="82">
        <f>D33</f>
        <v>800</v>
      </c>
      <c r="F33" s="82">
        <f t="shared" ref="F33:I33" si="17">E33</f>
        <v>800</v>
      </c>
      <c r="G33" s="82">
        <f t="shared" si="17"/>
        <v>800</v>
      </c>
      <c r="H33" s="82">
        <f t="shared" si="17"/>
        <v>800</v>
      </c>
      <c r="I33" s="82">
        <f t="shared" si="17"/>
        <v>800</v>
      </c>
      <c r="J33" s="83"/>
      <c r="K33" s="83"/>
      <c r="L33" s="83"/>
      <c r="M33" s="83"/>
      <c r="N33" s="83"/>
      <c r="O33" s="83"/>
      <c r="P33" s="83"/>
      <c r="Q33" s="83"/>
    </row>
    <row r="34" spans="1:51" ht="18" customHeight="1" x14ac:dyDescent="0.2">
      <c r="A34" s="6"/>
      <c r="B34" s="279" t="s">
        <v>275</v>
      </c>
      <c r="C34" s="167">
        <f>SUM(C32,C33)</f>
        <v>1000</v>
      </c>
      <c r="D34" s="167">
        <f>SUM(D32,D33)</f>
        <v>2800</v>
      </c>
      <c r="E34" s="167">
        <f t="shared" ref="E34:I34" si="18">SUM(E32,E33)</f>
        <v>2800</v>
      </c>
      <c r="F34" s="167">
        <f t="shared" si="18"/>
        <v>2800</v>
      </c>
      <c r="G34" s="167">
        <f t="shared" si="18"/>
        <v>2800</v>
      </c>
      <c r="H34" s="167">
        <f t="shared" si="18"/>
        <v>2800</v>
      </c>
      <c r="I34" s="167">
        <f t="shared" si="18"/>
        <v>2800</v>
      </c>
      <c r="J34" s="7"/>
      <c r="K34" s="7"/>
      <c r="L34" s="7"/>
      <c r="M34" s="7"/>
      <c r="N34" s="7"/>
      <c r="O34" s="7"/>
      <c r="P34" s="7"/>
      <c r="Q34" s="7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</row>
    <row r="35" spans="1:51" ht="18" customHeight="1" x14ac:dyDescent="0.2">
      <c r="B35" s="277" t="s">
        <v>276</v>
      </c>
      <c r="C35" s="82"/>
      <c r="D35" s="82"/>
      <c r="E35" s="83">
        <f>'P&amp;L'!D27</f>
        <v>1681.6205999999997</v>
      </c>
      <c r="F35" s="83">
        <f>E35+'P&amp;L'!E27</f>
        <v>3809.2976475000009</v>
      </c>
      <c r="G35" s="83">
        <f>F35+'P&amp;L'!F27</f>
        <v>7723.9032832499997</v>
      </c>
      <c r="H35" s="83">
        <f>G35+'P&amp;L'!G27</f>
        <v>14456.06800985156</v>
      </c>
      <c r="I35" s="83">
        <f>H35+'P&amp;L'!H27</f>
        <v>22796.471595859686</v>
      </c>
      <c r="J35" s="83"/>
      <c r="K35" s="83"/>
      <c r="L35" s="83"/>
      <c r="M35" s="83"/>
      <c r="N35" s="83"/>
      <c r="O35" s="83"/>
      <c r="P35" s="83"/>
      <c r="Q35" s="83"/>
    </row>
    <row r="36" spans="1:51" ht="18" customHeight="1" x14ac:dyDescent="0.2">
      <c r="B36" s="279" t="s">
        <v>277</v>
      </c>
      <c r="C36" s="7">
        <f>C34+C35</f>
        <v>1000</v>
      </c>
      <c r="D36" s="7">
        <f t="shared" ref="D36:I36" si="19">D34+D35</f>
        <v>2800</v>
      </c>
      <c r="E36" s="7">
        <f t="shared" si="19"/>
        <v>4481.6206000000002</v>
      </c>
      <c r="F36" s="7">
        <f t="shared" si="19"/>
        <v>6609.2976475000014</v>
      </c>
      <c r="G36" s="7">
        <f t="shared" si="19"/>
        <v>10523.90328325</v>
      </c>
      <c r="H36" s="7">
        <f t="shared" si="19"/>
        <v>17256.068009851559</v>
      </c>
      <c r="I36" s="7">
        <f t="shared" si="19"/>
        <v>25596.471595859686</v>
      </c>
      <c r="J36" s="83"/>
      <c r="K36" s="83"/>
      <c r="L36" s="83"/>
      <c r="M36" s="83"/>
      <c r="N36" s="83"/>
      <c r="O36" s="83"/>
      <c r="P36" s="83"/>
      <c r="Q36" s="83"/>
    </row>
    <row r="37" spans="1:51" ht="18" customHeight="1" x14ac:dyDescent="0.2">
      <c r="B37" s="280" t="s">
        <v>278</v>
      </c>
      <c r="C37" s="275">
        <f>C36+C29</f>
        <v>1000</v>
      </c>
      <c r="D37" s="275">
        <f>D36+D29</f>
        <v>5572.6027397260277</v>
      </c>
      <c r="E37" s="275">
        <f t="shared" ref="E37:I37" si="20">E36+E29</f>
        <v>7545.6623808219174</v>
      </c>
      <c r="F37" s="275">
        <f t="shared" si="20"/>
        <v>9937.9582236986316</v>
      </c>
      <c r="G37" s="275">
        <f t="shared" si="20"/>
        <v>14256.239860047945</v>
      </c>
      <c r="H37" s="275">
        <f t="shared" si="20"/>
        <v>21350.91762356988</v>
      </c>
      <c r="I37" s="275">
        <f t="shared" si="20"/>
        <v>29858.458142355867</v>
      </c>
      <c r="J37" s="83"/>
      <c r="K37" s="83"/>
      <c r="L37" s="83"/>
      <c r="M37" s="83"/>
      <c r="N37" s="83"/>
      <c r="O37" s="83"/>
      <c r="P37" s="83"/>
      <c r="Q37" s="83"/>
    </row>
    <row r="38" spans="1:51" s="96" customFormat="1" ht="18" customHeight="1" x14ac:dyDescent="0.2">
      <c r="B38" s="115" t="s">
        <v>279</v>
      </c>
      <c r="C38" s="97" t="str">
        <f>IF(ABS(C18-C37)&gt;2,"ERROR","BALANCED")</f>
        <v>BALANCED</v>
      </c>
      <c r="D38" s="97" t="str">
        <f t="shared" ref="D38:I38" si="21">IF(ABS(D18-D37)&gt;2,"ERROR","BALANCED")</f>
        <v>BALANCED</v>
      </c>
      <c r="E38" s="97" t="str">
        <f t="shared" si="21"/>
        <v>BALANCED</v>
      </c>
      <c r="F38" s="97" t="str">
        <f t="shared" si="21"/>
        <v>BALANCED</v>
      </c>
      <c r="G38" s="97" t="str">
        <f t="shared" si="21"/>
        <v>BALANCED</v>
      </c>
      <c r="H38" s="97" t="str">
        <f t="shared" si="21"/>
        <v>BALANCED</v>
      </c>
      <c r="I38" s="97" t="str">
        <f t="shared" si="21"/>
        <v>BALANCED</v>
      </c>
      <c r="J38" s="98"/>
      <c r="K38" s="97"/>
      <c r="L38" s="98"/>
      <c r="M38" s="98"/>
      <c r="N38" s="98"/>
      <c r="O38" s="98"/>
      <c r="P38" s="98"/>
      <c r="Q38" s="98"/>
    </row>
    <row r="39" spans="1:51" ht="18" customHeight="1" x14ac:dyDescent="0.2">
      <c r="C39" s="82"/>
      <c r="D39" s="82"/>
      <c r="E39" s="82"/>
      <c r="F39" s="82"/>
      <c r="G39" s="82"/>
      <c r="H39" s="82"/>
      <c r="I39" s="82"/>
      <c r="J39" s="83"/>
      <c r="K39" s="83"/>
      <c r="L39" s="83"/>
      <c r="M39" s="83"/>
      <c r="N39" s="83"/>
      <c r="O39" s="83"/>
      <c r="P39" s="83"/>
      <c r="Q39" s="83"/>
    </row>
    <row r="40" spans="1:51" ht="18" customHeight="1" x14ac:dyDescent="0.2"/>
    <row r="41" spans="1:51" x14ac:dyDescent="0.2">
      <c r="B41" s="159"/>
      <c r="D41" s="159"/>
      <c r="E41" s="159"/>
      <c r="F41" s="159"/>
      <c r="G41" s="159"/>
      <c r="H41" s="159"/>
      <c r="I41" s="159"/>
      <c r="J41" s="159"/>
    </row>
    <row r="42" spans="1:51" x14ac:dyDescent="0.2">
      <c r="B42" s="159"/>
      <c r="D42" s="159"/>
      <c r="E42" s="159"/>
      <c r="F42" s="159"/>
      <c r="G42" s="159"/>
      <c r="H42" s="159"/>
      <c r="I42" s="159"/>
      <c r="J42" s="159"/>
    </row>
    <row r="43" spans="1:51" x14ac:dyDescent="0.2">
      <c r="B43" s="159"/>
      <c r="D43" s="159"/>
      <c r="E43" s="159"/>
      <c r="F43" s="159"/>
      <c r="G43" s="159"/>
      <c r="H43" s="159"/>
      <c r="I43" s="159"/>
      <c r="J43" s="159"/>
    </row>
    <row r="44" spans="1:51" x14ac:dyDescent="0.2">
      <c r="B44" s="159"/>
      <c r="D44" s="159"/>
      <c r="E44" s="159"/>
      <c r="F44" s="159"/>
      <c r="G44" s="159"/>
      <c r="H44" s="159"/>
      <c r="I44" s="159"/>
      <c r="J44" s="159"/>
    </row>
    <row r="45" spans="1:51" x14ac:dyDescent="0.2">
      <c r="B45" s="159"/>
      <c r="D45" s="159"/>
      <c r="E45" s="159"/>
      <c r="F45" s="159"/>
      <c r="G45" s="159"/>
      <c r="H45" s="159"/>
      <c r="I45" s="159"/>
      <c r="J45" s="159"/>
    </row>
    <row r="46" spans="1:51" x14ac:dyDescent="0.2">
      <c r="B46" s="159"/>
      <c r="D46" s="159"/>
      <c r="E46" s="159"/>
      <c r="F46" s="159"/>
      <c r="G46" s="159"/>
      <c r="H46" s="159"/>
      <c r="I46" s="159"/>
      <c r="J46" s="159"/>
    </row>
  </sheetData>
  <mergeCells count="2">
    <mergeCell ref="C5:D5"/>
    <mergeCell ref="C20:D20"/>
  </mergeCells>
  <conditionalFormatting sqref="K38">
    <cfRule type="containsText" dxfId="15" priority="17" operator="containsText" text="BALANCE">
      <formula>NOT(ISERROR(SEARCH("BALANCE",K38)))</formula>
    </cfRule>
    <cfRule type="containsText" dxfId="14" priority="18" operator="containsText" text="ERROR">
      <formula>NOT(ISERROR(SEARCH("ERROR",K38)))</formula>
    </cfRule>
  </conditionalFormatting>
  <conditionalFormatting sqref="C38">
    <cfRule type="containsText" dxfId="13" priority="15" operator="containsText" text="BALANCE">
      <formula>NOT(ISERROR(SEARCH("BALANCE",C38)))</formula>
    </cfRule>
    <cfRule type="containsText" dxfId="12" priority="16" operator="containsText" text="ERROR">
      <formula>NOT(ISERROR(SEARCH("ERROR",C38)))</formula>
    </cfRule>
  </conditionalFormatting>
  <conditionalFormatting sqref="D38">
    <cfRule type="containsText" dxfId="11" priority="13" operator="containsText" text="BALANCE">
      <formula>NOT(ISERROR(SEARCH("BALANCE",D38)))</formula>
    </cfRule>
    <cfRule type="containsText" dxfId="10" priority="14" operator="containsText" text="ERROR">
      <formula>NOT(ISERROR(SEARCH("ERROR",D38)))</formula>
    </cfRule>
  </conditionalFormatting>
  <conditionalFormatting sqref="E38">
    <cfRule type="containsText" dxfId="9" priority="9" operator="containsText" text="BALANCE">
      <formula>NOT(ISERROR(SEARCH("BALANCE",E38)))</formula>
    </cfRule>
    <cfRule type="containsText" dxfId="8" priority="10" operator="containsText" text="ERROR">
      <formula>NOT(ISERROR(SEARCH("ERROR",E38)))</formula>
    </cfRule>
  </conditionalFormatting>
  <conditionalFormatting sqref="F38">
    <cfRule type="containsText" dxfId="7" priority="7" operator="containsText" text="BALANCE">
      <formula>NOT(ISERROR(SEARCH("BALANCE",F38)))</formula>
    </cfRule>
    <cfRule type="containsText" dxfId="6" priority="8" operator="containsText" text="ERROR">
      <formula>NOT(ISERROR(SEARCH("ERROR",F38)))</formula>
    </cfRule>
  </conditionalFormatting>
  <conditionalFormatting sqref="G38">
    <cfRule type="containsText" dxfId="5" priority="5" operator="containsText" text="BALANCE">
      <formula>NOT(ISERROR(SEARCH("BALANCE",G38)))</formula>
    </cfRule>
    <cfRule type="containsText" dxfId="4" priority="6" operator="containsText" text="ERROR">
      <formula>NOT(ISERROR(SEARCH("ERROR",G38)))</formula>
    </cfRule>
  </conditionalFormatting>
  <conditionalFormatting sqref="H38">
    <cfRule type="containsText" dxfId="3" priority="3" operator="containsText" text="BALANCE">
      <formula>NOT(ISERROR(SEARCH("BALANCE",H38)))</formula>
    </cfRule>
    <cfRule type="containsText" dxfId="2" priority="4" operator="containsText" text="ERROR">
      <formula>NOT(ISERROR(SEARCH("ERROR",H38)))</formula>
    </cfRule>
  </conditionalFormatting>
  <conditionalFormatting sqref="I38">
    <cfRule type="containsText" dxfId="1" priority="1" operator="containsText" text="BALANCE">
      <formula>NOT(ISERROR(SEARCH("BALANCE",I38)))</formula>
    </cfRule>
    <cfRule type="containsText" dxfId="0" priority="2" operator="containsText" text="ERROR">
      <formula>NOT(ISERROR(SEARCH("ERROR",I38)))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Drop Down 1">
              <controlPr defaultSize="0" autoLine="0" autoPict="0">
                <anchor moveWithCells="1">
                  <from>
                    <xdr:col>1</xdr:col>
                    <xdr:colOff>1701800</xdr:colOff>
                    <xdr:row>0</xdr:row>
                    <xdr:rowOff>114300</xdr:rowOff>
                  </from>
                  <to>
                    <xdr:col>2</xdr:col>
                    <xdr:colOff>139700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Drop Down 2">
              <controlPr defaultSize="0" autoLine="0" autoPict="0">
                <anchor moveWithCells="1">
                  <from>
                    <xdr:col>2</xdr:col>
                    <xdr:colOff>177800</xdr:colOff>
                    <xdr:row>0</xdr:row>
                    <xdr:rowOff>114300</xdr:rowOff>
                  </from>
                  <to>
                    <xdr:col>3</xdr:col>
                    <xdr:colOff>520700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Drop Down 3">
              <controlPr defaultSize="0" autoLine="0" autoPict="0">
                <anchor moveWithCells="1">
                  <from>
                    <xdr:col>1</xdr:col>
                    <xdr:colOff>787400</xdr:colOff>
                    <xdr:row>0</xdr:row>
                    <xdr:rowOff>101600</xdr:rowOff>
                  </from>
                  <to>
                    <xdr:col>1</xdr:col>
                    <xdr:colOff>1676400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B1:I39"/>
  <sheetViews>
    <sheetView showGridLines="0" zoomScale="180" zoomScaleNormal="180" workbookViewId="0">
      <pane ySplit="1" topLeftCell="A20" activePane="bottomLeft" state="frozen"/>
      <selection activeCell="F18" sqref="F18"/>
      <selection pane="bottomLeft" activeCell="D33" sqref="D33:H33"/>
    </sheetView>
  </sheetViews>
  <sheetFormatPr baseColWidth="10" defaultColWidth="11.1640625" defaultRowHeight="16" x14ac:dyDescent="0.2"/>
  <cols>
    <col min="1" max="1" width="8" customWidth="1"/>
    <col min="2" max="2" width="37.6640625" customWidth="1"/>
    <col min="3" max="3" width="6" customWidth="1"/>
    <col min="4" max="4" width="11.1640625" bestFit="1" customWidth="1"/>
  </cols>
  <sheetData>
    <row r="1" spans="2:9" s="58" customFormat="1" ht="23.5" customHeight="1" x14ac:dyDescent="0.2">
      <c r="B1" s="62" t="s">
        <v>280</v>
      </c>
      <c r="C1" s="60"/>
      <c r="D1" s="58">
        <f>Cockpit!B18+1</f>
        <v>2026</v>
      </c>
      <c r="E1" s="58">
        <f>D1+1</f>
        <v>2027</v>
      </c>
      <c r="F1" s="58">
        <f>E1+1</f>
        <v>2028</v>
      </c>
      <c r="G1" s="58">
        <f>F1+1</f>
        <v>2029</v>
      </c>
      <c r="H1" s="58">
        <f>G1+1</f>
        <v>2030</v>
      </c>
      <c r="I1" s="61"/>
    </row>
    <row r="2" spans="2:9" x14ac:dyDescent="0.2">
      <c r="B2" s="2" t="s">
        <v>281</v>
      </c>
    </row>
    <row r="3" spans="2:9" x14ac:dyDescent="0.2">
      <c r="B3" t="s">
        <v>282</v>
      </c>
    </row>
    <row r="4" spans="2:9" s="5" customFormat="1" x14ac:dyDescent="0.2">
      <c r="D4" s="70"/>
      <c r="E4" s="70"/>
      <c r="F4" s="70"/>
      <c r="G4" s="70"/>
      <c r="H4" s="70"/>
    </row>
    <row r="5" spans="2:9" s="5" customFormat="1" x14ac:dyDescent="0.2">
      <c r="D5" s="70"/>
      <c r="E5" s="70"/>
      <c r="F5" s="70"/>
      <c r="G5" s="70"/>
      <c r="H5" s="70"/>
    </row>
    <row r="6" spans="2:9" s="51" customFormat="1" x14ac:dyDescent="0.2">
      <c r="B6" s="72" t="s">
        <v>207</v>
      </c>
      <c r="C6" s="72"/>
      <c r="D6" s="144" t="e">
        <f>#REF!</f>
        <v>#REF!</v>
      </c>
      <c r="E6" s="144" t="e">
        <f>#REF!</f>
        <v>#REF!</v>
      </c>
      <c r="F6" s="144" t="e">
        <f>#REF!</f>
        <v>#REF!</v>
      </c>
      <c r="G6" s="144" t="e">
        <f>#REF!</f>
        <v>#REF!</v>
      </c>
      <c r="H6" s="144" t="e">
        <f>#REF!</f>
        <v>#REF!</v>
      </c>
    </row>
    <row r="7" spans="2:9" x14ac:dyDescent="0.2">
      <c r="B7" t="s">
        <v>20</v>
      </c>
      <c r="D7" s="145" t="e">
        <f>-#REF!</f>
        <v>#REF!</v>
      </c>
      <c r="E7" s="145" t="e">
        <f>-#REF!</f>
        <v>#REF!</v>
      </c>
      <c r="F7" s="145" t="e">
        <f>-#REF!</f>
        <v>#REF!</v>
      </c>
      <c r="G7" s="145" t="e">
        <f>-#REF!</f>
        <v>#REF!</v>
      </c>
      <c r="H7" s="145" t="e">
        <f>-#REF!</f>
        <v>#REF!</v>
      </c>
    </row>
    <row r="8" spans="2:9" x14ac:dyDescent="0.2">
      <c r="B8" t="s">
        <v>283</v>
      </c>
      <c r="D8" s="70">
        <f>'P&amp;L'!E8</f>
        <v>968.83901999999978</v>
      </c>
      <c r="E8" s="70">
        <f>'P&amp;L'!F8</f>
        <v>1324.0799939999997</v>
      </c>
      <c r="F8" s="70">
        <f>'P&amp;L'!G8</f>
        <v>1727.2141045312492</v>
      </c>
      <c r="G8" s="70">
        <f>'P&amp;L'!H8</f>
        <v>2162.2793816024987</v>
      </c>
      <c r="H8" s="70">
        <f>'P&amp;L'!I8</f>
        <v>0</v>
      </c>
    </row>
    <row r="9" spans="2:9" x14ac:dyDescent="0.2">
      <c r="B9" t="s">
        <v>118</v>
      </c>
      <c r="D9" s="70">
        <f>'P&amp;L'!E9</f>
        <v>2401.875</v>
      </c>
      <c r="E9" s="70">
        <f>'P&amp;L'!F9</f>
        <v>3555.5625</v>
      </c>
      <c r="F9" s="70">
        <f>'P&amp;L'!G9</f>
        <v>5469.7781249999998</v>
      </c>
      <c r="G9" s="70">
        <f>'P&amp;L'!H9</f>
        <v>6381.4078124999996</v>
      </c>
      <c r="H9" s="70">
        <f>'P&amp;L'!I9</f>
        <v>0</v>
      </c>
    </row>
    <row r="10" spans="2:9" x14ac:dyDescent="0.2">
      <c r="B10" s="2" t="s">
        <v>212</v>
      </c>
      <c r="C10" s="2"/>
      <c r="D10" s="75" t="e">
        <f>SUM(D7:D9)</f>
        <v>#REF!</v>
      </c>
      <c r="E10" s="75" t="e">
        <f>SUM(E7:E9)</f>
        <v>#REF!</v>
      </c>
      <c r="F10" s="75" t="e">
        <f>SUM(F7:F9)</f>
        <v>#REF!</v>
      </c>
      <c r="G10" s="75" t="e">
        <f>SUM(G7:G9)</f>
        <v>#REF!</v>
      </c>
      <c r="H10" s="75" t="e">
        <f>SUM(H7:H9)</f>
        <v>#REF!</v>
      </c>
    </row>
    <row r="11" spans="2:9" x14ac:dyDescent="0.2">
      <c r="B11" s="72" t="s">
        <v>213</v>
      </c>
      <c r="C11" s="72"/>
      <c r="D11" s="74" t="e">
        <f>D6+D10</f>
        <v>#REF!</v>
      </c>
      <c r="E11" s="74" t="e">
        <f>E6+E10</f>
        <v>#REF!</v>
      </c>
      <c r="F11" s="74" t="e">
        <f>F6+F10</f>
        <v>#REF!</v>
      </c>
      <c r="G11" s="74" t="e">
        <f>G6+G10</f>
        <v>#REF!</v>
      </c>
      <c r="H11" s="74" t="e">
        <f>H6+H10</f>
        <v>#REF!</v>
      </c>
    </row>
    <row r="12" spans="2:9" s="5" customFormat="1" x14ac:dyDescent="0.2">
      <c r="B12" s="5" t="s">
        <v>213</v>
      </c>
      <c r="D12" s="78" t="e">
        <f>D11/D$6</f>
        <v>#REF!</v>
      </c>
      <c r="E12" s="78" t="e">
        <f>E11/E$6</f>
        <v>#REF!</v>
      </c>
      <c r="F12" s="78" t="e">
        <f>F11/F$6</f>
        <v>#REF!</v>
      </c>
      <c r="G12" s="78" t="e">
        <f>G11/G$6</f>
        <v>#REF!</v>
      </c>
      <c r="H12" s="78" t="e">
        <f>H11/H$6</f>
        <v>#REF!</v>
      </c>
    </row>
    <row r="13" spans="2:9" s="5" customFormat="1" x14ac:dyDescent="0.2">
      <c r="B13" s="51"/>
      <c r="C13" s="51"/>
      <c r="D13" s="76"/>
      <c r="E13" s="76"/>
      <c r="F13" s="76"/>
      <c r="G13" s="76"/>
      <c r="H13" s="76"/>
    </row>
    <row r="14" spans="2:9" x14ac:dyDescent="0.2">
      <c r="B14" t="s">
        <v>147</v>
      </c>
      <c r="D14" s="70">
        <f>'P&amp;L'!E12</f>
        <v>4200</v>
      </c>
      <c r="E14" s="70">
        <f>'P&amp;L'!F12</f>
        <v>5250</v>
      </c>
      <c r="F14" s="70">
        <f>'P&amp;L'!G12</f>
        <v>7350</v>
      </c>
      <c r="G14" s="70">
        <f>'P&amp;L'!H12</f>
        <v>7350</v>
      </c>
      <c r="H14" s="70">
        <f>'P&amp;L'!I12</f>
        <v>0</v>
      </c>
    </row>
    <row r="15" spans="2:9" x14ac:dyDescent="0.2">
      <c r="B15" s="72" t="s">
        <v>284</v>
      </c>
      <c r="C15" s="72"/>
      <c r="D15" s="74" t="e">
        <f>D11+D14</f>
        <v>#REF!</v>
      </c>
      <c r="E15" s="74" t="e">
        <f>E11+E14</f>
        <v>#REF!</v>
      </c>
      <c r="F15" s="74" t="e">
        <f>F11+F14</f>
        <v>#REF!</v>
      </c>
      <c r="G15" s="74" t="e">
        <f>G11+G14</f>
        <v>#REF!</v>
      </c>
      <c r="H15" s="74" t="e">
        <f>H11+H14</f>
        <v>#REF!</v>
      </c>
    </row>
    <row r="16" spans="2:9" s="5" customFormat="1" x14ac:dyDescent="0.2">
      <c r="B16" s="5" t="s">
        <v>284</v>
      </c>
      <c r="D16" s="77" t="e">
        <f>D15/D$6</f>
        <v>#REF!</v>
      </c>
      <c r="E16" s="77" t="e">
        <f>E15/E$6</f>
        <v>#REF!</v>
      </c>
      <c r="F16" s="77" t="e">
        <f>F15/F$6</f>
        <v>#REF!</v>
      </c>
      <c r="G16" s="77" t="e">
        <f>G15/G$6</f>
        <v>#REF!</v>
      </c>
      <c r="H16" s="77" t="e">
        <f>H15/H$6</f>
        <v>#REF!</v>
      </c>
    </row>
    <row r="17" spans="2:9" s="5" customFormat="1" x14ac:dyDescent="0.2">
      <c r="D17" s="77"/>
      <c r="E17" s="77"/>
      <c r="F17" s="77"/>
      <c r="G17" s="77"/>
      <c r="H17" s="77"/>
    </row>
    <row r="18" spans="2:9" x14ac:dyDescent="0.2">
      <c r="B18" t="s">
        <v>285</v>
      </c>
      <c r="D18" s="70">
        <f>'P&amp;L'!E16</f>
        <v>330</v>
      </c>
      <c r="E18" s="70">
        <f>'P&amp;L'!F16</f>
        <v>363.00000000000006</v>
      </c>
      <c r="F18" s="70">
        <f>'P&amp;L'!G16</f>
        <v>399.30000000000007</v>
      </c>
      <c r="G18" s="70">
        <f>'P&amp;L'!H16</f>
        <v>439.23000000000013</v>
      </c>
      <c r="H18" s="70">
        <f>'P&amp;L'!I16</f>
        <v>0</v>
      </c>
    </row>
    <row r="19" spans="2:9" x14ac:dyDescent="0.2">
      <c r="B19" t="s">
        <v>223</v>
      </c>
      <c r="C19" s="4" t="str">
        <f>'Tech &amp; Other costs'!C23</f>
        <v>EUR '000</v>
      </c>
      <c r="D19" s="145" t="e">
        <f>-#REF!</f>
        <v>#REF!</v>
      </c>
      <c r="E19" s="145" t="e">
        <f>-#REF!</f>
        <v>#REF!</v>
      </c>
      <c r="F19" s="145" t="e">
        <f>-#REF!</f>
        <v>#REF!</v>
      </c>
      <c r="G19" s="145" t="e">
        <f>-#REF!</f>
        <v>#REF!</v>
      </c>
      <c r="H19" s="145" t="e">
        <f>-#REF!</f>
        <v>#REF!</v>
      </c>
      <c r="I19" s="79" t="s">
        <v>286</v>
      </c>
    </row>
    <row r="20" spans="2:9" x14ac:dyDescent="0.2">
      <c r="B20" t="s">
        <v>215</v>
      </c>
      <c r="D20" s="70">
        <f>'P&amp;L'!E17</f>
        <v>495.00000000000006</v>
      </c>
      <c r="E20" s="70">
        <f>'P&amp;L'!F17</f>
        <v>544.50000000000011</v>
      </c>
      <c r="F20" s="70">
        <f>'P&amp;L'!G17</f>
        <v>598.95000000000016</v>
      </c>
      <c r="G20" s="70">
        <f>'P&amp;L'!H17</f>
        <v>658.84500000000025</v>
      </c>
      <c r="H20" s="70">
        <f>'P&amp;L'!I17</f>
        <v>0</v>
      </c>
    </row>
    <row r="21" spans="2:9" x14ac:dyDescent="0.2">
      <c r="B21" t="str">
        <f>'Tech &amp; Other costs'!B21</f>
        <v xml:space="preserve">Unexpected costs </v>
      </c>
      <c r="D21" s="70" t="e">
        <f>-#REF!</f>
        <v>#REF!</v>
      </c>
      <c r="E21" s="70" t="e">
        <f>-#REF!</f>
        <v>#REF!</v>
      </c>
      <c r="F21" s="70" t="e">
        <f>-#REF!</f>
        <v>#REF!</v>
      </c>
      <c r="G21" s="70" t="e">
        <f>-#REF!</f>
        <v>#REF!</v>
      </c>
      <c r="H21" s="70" t="e">
        <f>-#REF!</f>
        <v>#REF!</v>
      </c>
      <c r="I21" s="79" t="s">
        <v>286</v>
      </c>
    </row>
    <row r="22" spans="2:9" s="2" customFormat="1" x14ac:dyDescent="0.2">
      <c r="B22" s="72" t="s">
        <v>216</v>
      </c>
      <c r="C22" s="72"/>
      <c r="D22" s="74" t="e">
        <f>SUM(D15,D18:D21)</f>
        <v>#REF!</v>
      </c>
      <c r="E22" s="74" t="e">
        <f>SUM(E15,E18:E21)</f>
        <v>#REF!</v>
      </c>
      <c r="F22" s="74" t="e">
        <f>SUM(F15,F18:F21)</f>
        <v>#REF!</v>
      </c>
      <c r="G22" s="74" t="e">
        <f>SUM(G15,G18:G21)</f>
        <v>#REF!</v>
      </c>
      <c r="H22" s="74" t="e">
        <f>SUM(H15,H18:H21)</f>
        <v>#REF!</v>
      </c>
    </row>
    <row r="23" spans="2:9" s="51" customFormat="1" x14ac:dyDescent="0.2">
      <c r="B23" s="5" t="s">
        <v>217</v>
      </c>
      <c r="C23" s="5"/>
      <c r="D23" s="78" t="e">
        <f>D22/D$6</f>
        <v>#REF!</v>
      </c>
      <c r="E23" s="78" t="e">
        <f>E22/E$6</f>
        <v>#REF!</v>
      </c>
      <c r="F23" s="78" t="e">
        <f>F22/F$6</f>
        <v>#REF!</v>
      </c>
      <c r="G23" s="78" t="e">
        <f>G22/G$6</f>
        <v>#REF!</v>
      </c>
      <c r="H23" s="78" t="e">
        <f>H22/H$6</f>
        <v>#REF!</v>
      </c>
    </row>
    <row r="24" spans="2:9" s="51" customFormat="1" x14ac:dyDescent="0.2">
      <c r="B24" s="5"/>
      <c r="C24" s="5"/>
      <c r="D24" s="78"/>
      <c r="E24" s="78"/>
      <c r="F24" s="78"/>
      <c r="G24" s="78"/>
      <c r="H24" s="78"/>
    </row>
    <row r="25" spans="2:9" x14ac:dyDescent="0.2">
      <c r="B25" t="s">
        <v>218</v>
      </c>
      <c r="D25" s="70">
        <f>'P&amp;L'!E20</f>
        <v>30</v>
      </c>
      <c r="E25" s="70">
        <f>'P&amp;L'!F20</f>
        <v>30</v>
      </c>
      <c r="F25" s="70">
        <f>'P&amp;L'!G20</f>
        <v>30</v>
      </c>
      <c r="G25" s="70">
        <f>'P&amp;L'!H20</f>
        <v>30</v>
      </c>
      <c r="H25" s="70">
        <f>'P&amp;L'!I20</f>
        <v>0</v>
      </c>
    </row>
    <row r="26" spans="2:9" s="2" customFormat="1" x14ac:dyDescent="0.2">
      <c r="B26" s="72" t="s">
        <v>219</v>
      </c>
      <c r="C26" s="72"/>
      <c r="D26" s="74" t="e">
        <f>D22+D25</f>
        <v>#REF!</v>
      </c>
      <c r="E26" s="74" t="e">
        <f>E22+E25</f>
        <v>#REF!</v>
      </c>
      <c r="F26" s="74" t="e">
        <f>F22+F25</f>
        <v>#REF!</v>
      </c>
      <c r="G26" s="74" t="e">
        <f>G22+G25</f>
        <v>#REF!</v>
      </c>
      <c r="H26" s="74" t="e">
        <f>H22+H25</f>
        <v>#REF!</v>
      </c>
      <c r="I26" s="142" t="e">
        <f>SUM(D26:H26)/SUM(D6:H6)</f>
        <v>#REF!</v>
      </c>
    </row>
    <row r="27" spans="2:9" s="5" customFormat="1" x14ac:dyDescent="0.2">
      <c r="B27" s="5" t="s">
        <v>220</v>
      </c>
      <c r="D27" s="78" t="e">
        <f>D26/D$6</f>
        <v>#REF!</v>
      </c>
      <c r="E27" s="78" t="e">
        <f>E26/E$6</f>
        <v>#REF!</v>
      </c>
      <c r="F27" s="78" t="e">
        <f>F26/F$6</f>
        <v>#REF!</v>
      </c>
      <c r="G27" s="78" t="e">
        <f>G26/G$6</f>
        <v>#REF!</v>
      </c>
      <c r="H27" s="78" t="e">
        <f>H26/H$6</f>
        <v>#REF!</v>
      </c>
      <c r="I27" s="143" t="e">
        <f>AVERAGE(D27:H27)</f>
        <v>#REF!</v>
      </c>
    </row>
    <row r="28" spans="2:9" s="5" customFormat="1" x14ac:dyDescent="0.2">
      <c r="D28" s="78"/>
      <c r="E28" s="78"/>
      <c r="F28" s="78"/>
      <c r="G28" s="78"/>
      <c r="H28" s="78"/>
    </row>
    <row r="29" spans="2:9" x14ac:dyDescent="0.2">
      <c r="B29" t="s">
        <v>221</v>
      </c>
      <c r="C29">
        <v>12</v>
      </c>
      <c r="D29" s="70">
        <f>'P&amp;L'!E23</f>
        <v>-120.75</v>
      </c>
      <c r="E29" s="70">
        <f>'P&amp;L'!F23</f>
        <v>-120.75</v>
      </c>
      <c r="F29" s="70">
        <f>'P&amp;L'!G23</f>
        <v>-120.75</v>
      </c>
      <c r="G29" s="70">
        <f>'P&amp;L'!H23</f>
        <v>-120.75</v>
      </c>
      <c r="H29" s="70">
        <f>'P&amp;L'!I23</f>
        <v>0</v>
      </c>
    </row>
    <row r="30" spans="2:9" x14ac:dyDescent="0.2">
      <c r="B30" s="72" t="s">
        <v>222</v>
      </c>
      <c r="C30" s="72"/>
      <c r="D30" s="74" t="e">
        <f>D26+D29</f>
        <v>#REF!</v>
      </c>
      <c r="E30" s="74" t="e">
        <f>E26+E29</f>
        <v>#REF!</v>
      </c>
      <c r="F30" s="74" t="e">
        <f>F26+F29</f>
        <v>#REF!</v>
      </c>
      <c r="G30" s="74" t="e">
        <f>G26+G29</f>
        <v>#REF!</v>
      </c>
      <c r="H30" s="74" t="e">
        <f>H26+H29</f>
        <v>#REF!</v>
      </c>
    </row>
    <row r="31" spans="2:9" s="5" customFormat="1" x14ac:dyDescent="0.2">
      <c r="B31" s="51"/>
      <c r="C31" s="51"/>
      <c r="D31" s="70"/>
      <c r="E31" s="70"/>
      <c r="F31" s="70"/>
      <c r="G31" s="70"/>
      <c r="H31" s="70"/>
    </row>
    <row r="32" spans="2:9" x14ac:dyDescent="0.2">
      <c r="B32" t="s">
        <v>223</v>
      </c>
      <c r="C32" s="48">
        <v>0.25</v>
      </c>
      <c r="D32" s="83" t="e">
        <f>-$C$32*D30</f>
        <v>#REF!</v>
      </c>
      <c r="E32" s="83" t="e">
        <f>-$C$32*E30</f>
        <v>#REF!</v>
      </c>
      <c r="F32" s="83" t="e">
        <f>-$C$32*F30</f>
        <v>#REF!</v>
      </c>
      <c r="G32" s="83" t="e">
        <f>-$C$32*G30</f>
        <v>#REF!</v>
      </c>
      <c r="H32" s="83" t="e">
        <f>-$C$32*H30</f>
        <v>#REF!</v>
      </c>
    </row>
    <row r="33" spans="2:9" x14ac:dyDescent="0.2">
      <c r="B33" s="72" t="s">
        <v>225</v>
      </c>
      <c r="C33" s="72"/>
      <c r="D33" s="80" t="e">
        <f>SUM(D30:D32)</f>
        <v>#REF!</v>
      </c>
      <c r="E33" s="80" t="e">
        <f>SUM(E30:E32)</f>
        <v>#REF!</v>
      </c>
      <c r="F33" s="80" t="e">
        <f>SUM(F30:F32)</f>
        <v>#REF!</v>
      </c>
      <c r="G33" s="80" t="e">
        <f>SUM(G30:G32)</f>
        <v>#REF!</v>
      </c>
      <c r="H33" s="80" t="e">
        <f>SUM(H30:H32)</f>
        <v>#REF!</v>
      </c>
    </row>
    <row r="35" spans="2:9" x14ac:dyDescent="0.2">
      <c r="B35" t="s">
        <v>287</v>
      </c>
      <c r="D35" s="104" t="e">
        <f>D33/D6</f>
        <v>#REF!</v>
      </c>
      <c r="E35" s="104" t="e">
        <f>E33/E6</f>
        <v>#REF!</v>
      </c>
      <c r="F35" s="104" t="e">
        <f>F33/F6</f>
        <v>#REF!</v>
      </c>
      <c r="G35" s="104" t="e">
        <f>G33/G6</f>
        <v>#REF!</v>
      </c>
      <c r="H35" s="104" t="e">
        <f>H33/H6</f>
        <v>#REF!</v>
      </c>
    </row>
    <row r="37" spans="2:9" x14ac:dyDescent="0.2">
      <c r="B37" t="s">
        <v>288</v>
      </c>
      <c r="D37" s="83" t="e">
        <f>'P&amp;L'!E27-'1.P&amp;L fuel risk'!D33</f>
        <v>#REF!</v>
      </c>
      <c r="E37" s="83" t="e">
        <f>'P&amp;L'!F27-'1.P&amp;L fuel risk'!E33</f>
        <v>#REF!</v>
      </c>
      <c r="F37" s="83" t="e">
        <f>'P&amp;L'!G27-'1.P&amp;L fuel risk'!F33</f>
        <v>#REF!</v>
      </c>
      <c r="G37" s="83" t="e">
        <f>'P&amp;L'!H27-'1.P&amp;L fuel risk'!G33</f>
        <v>#REF!</v>
      </c>
      <c r="H37" s="83" t="e">
        <f>'P&amp;L'!I27-'1.P&amp;L fuel risk'!H33</f>
        <v>#REF!</v>
      </c>
      <c r="I37" s="146" t="e">
        <f>SUM(D37:H37)</f>
        <v>#REF!</v>
      </c>
    </row>
    <row r="38" spans="2:9" x14ac:dyDescent="0.2">
      <c r="D38" s="105"/>
      <c r="E38" s="105"/>
      <c r="F38" s="105"/>
      <c r="G38" s="105"/>
      <c r="H38" s="105"/>
    </row>
    <row r="39" spans="2:9" x14ac:dyDescent="0.2">
      <c r="B39" s="102" t="s">
        <v>289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Drop Down 1">
              <controlPr defaultSize="0" autoLine="0" autoPict="0">
                <anchor moveWithCells="1">
                  <from>
                    <xdr:col>1</xdr:col>
                    <xdr:colOff>736600</xdr:colOff>
                    <xdr:row>0</xdr:row>
                    <xdr:rowOff>25400</xdr:rowOff>
                  </from>
                  <to>
                    <xdr:col>1</xdr:col>
                    <xdr:colOff>1727200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Drop Down 2">
              <controlPr defaultSize="0" autoLine="0" autoPict="0">
                <anchor moveWithCells="1">
                  <from>
                    <xdr:col>1</xdr:col>
                    <xdr:colOff>1879600</xdr:colOff>
                    <xdr:row>0</xdr:row>
                    <xdr:rowOff>25400</xdr:rowOff>
                  </from>
                  <to>
                    <xdr:col>3</xdr:col>
                    <xdr:colOff>177800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FF00"/>
  </sheetPr>
  <dimension ref="B1:I39"/>
  <sheetViews>
    <sheetView showGridLines="0" zoomScale="180" zoomScaleNormal="180" workbookViewId="0">
      <pane ySplit="1" topLeftCell="A2" activePane="bottomLeft" state="frozen"/>
      <selection activeCell="F18" sqref="F18"/>
      <selection pane="bottomLeft" activeCell="B3" sqref="B3"/>
    </sheetView>
  </sheetViews>
  <sheetFormatPr baseColWidth="10" defaultColWidth="11.1640625" defaultRowHeight="16" x14ac:dyDescent="0.2"/>
  <cols>
    <col min="1" max="1" width="8" customWidth="1"/>
    <col min="2" max="2" width="37.6640625" customWidth="1"/>
    <col min="3" max="3" width="8.5" customWidth="1"/>
    <col min="4" max="4" width="11.1640625" bestFit="1" customWidth="1"/>
  </cols>
  <sheetData>
    <row r="1" spans="2:9" s="58" customFormat="1" ht="23.5" customHeight="1" x14ac:dyDescent="0.2">
      <c r="B1" s="62" t="s">
        <v>280</v>
      </c>
      <c r="C1" s="60"/>
      <c r="D1" s="58">
        <f>Cockpit!B18+1</f>
        <v>2026</v>
      </c>
      <c r="E1" s="58">
        <f>D1+1</f>
        <v>2027</v>
      </c>
      <c r="F1" s="58">
        <f>E1+1</f>
        <v>2028</v>
      </c>
      <c r="G1" s="58">
        <f>F1+1</f>
        <v>2029</v>
      </c>
      <c r="H1" s="58">
        <f>G1+1</f>
        <v>2030</v>
      </c>
      <c r="I1" s="61"/>
    </row>
    <row r="2" spans="2:9" x14ac:dyDescent="0.2">
      <c r="B2" s="2" t="s">
        <v>281</v>
      </c>
    </row>
    <row r="3" spans="2:9" x14ac:dyDescent="0.2">
      <c r="B3" t="s">
        <v>282</v>
      </c>
      <c r="C3" s="2" t="s">
        <v>290</v>
      </c>
    </row>
    <row r="4" spans="2:9" s="5" customFormat="1" x14ac:dyDescent="0.2">
      <c r="D4" s="70"/>
      <c r="E4" s="70"/>
      <c r="F4" s="70"/>
      <c r="G4" s="70"/>
      <c r="H4" s="70"/>
    </row>
    <row r="5" spans="2:9" s="5" customFormat="1" x14ac:dyDescent="0.2">
      <c r="D5" s="70"/>
      <c r="E5" s="70"/>
      <c r="F5" s="70"/>
      <c r="G5" s="70"/>
      <c r="H5" s="70"/>
    </row>
    <row r="6" spans="2:9" s="51" customFormat="1" x14ac:dyDescent="0.2">
      <c r="B6" s="72" t="s">
        <v>207</v>
      </c>
      <c r="C6" s="72"/>
      <c r="D6" s="73">
        <f>Revenue!D17</f>
        <v>8125</v>
      </c>
      <c r="E6" s="73">
        <f>Revenue!E17</f>
        <v>12654.25</v>
      </c>
      <c r="F6" s="73">
        <f>Revenue!F17</f>
        <v>18404.504999999997</v>
      </c>
      <c r="G6" s="73">
        <f>Revenue!G17</f>
        <v>27945.231124999998</v>
      </c>
      <c r="H6" s="73">
        <f>Revenue!H17</f>
        <v>32344.3378615</v>
      </c>
    </row>
    <row r="7" spans="2:9" x14ac:dyDescent="0.2">
      <c r="B7" s="59" t="s">
        <v>20</v>
      </c>
      <c r="C7" s="59"/>
      <c r="D7" s="145">
        <f>-Fuel!D31</f>
        <v>-508.2</v>
      </c>
      <c r="E7" s="145">
        <f>-Fuel!E31</f>
        <v>-891.25575000000015</v>
      </c>
      <c r="F7" s="145">
        <f>-Fuel!F31</f>
        <v>-1445.0031749999998</v>
      </c>
      <c r="G7" s="145">
        <f>-Fuel!G31</f>
        <v>-2434.6623262499998</v>
      </c>
      <c r="H7" s="145">
        <f>-Fuel!H31</f>
        <v>-3110.9574168749991</v>
      </c>
    </row>
    <row r="8" spans="2:9" x14ac:dyDescent="0.2">
      <c r="B8" t="s">
        <v>283</v>
      </c>
      <c r="D8" s="70">
        <f>'P&amp;L'!E8</f>
        <v>968.83901999999978</v>
      </c>
      <c r="E8" s="70">
        <f>'P&amp;L'!F8</f>
        <v>1324.0799939999997</v>
      </c>
      <c r="F8" s="70">
        <f>'P&amp;L'!G8</f>
        <v>1727.2141045312492</v>
      </c>
      <c r="G8" s="70">
        <f>'P&amp;L'!H8</f>
        <v>2162.2793816024987</v>
      </c>
      <c r="H8" s="70">
        <f>'P&amp;L'!I8</f>
        <v>0</v>
      </c>
    </row>
    <row r="9" spans="2:9" x14ac:dyDescent="0.2">
      <c r="B9" t="s">
        <v>118</v>
      </c>
      <c r="D9" s="70">
        <f>'P&amp;L'!E9</f>
        <v>2401.875</v>
      </c>
      <c r="E9" s="70">
        <f>'P&amp;L'!F9</f>
        <v>3555.5625</v>
      </c>
      <c r="F9" s="70">
        <f>'P&amp;L'!G9</f>
        <v>5469.7781249999998</v>
      </c>
      <c r="G9" s="70">
        <f>'P&amp;L'!H9</f>
        <v>6381.4078124999996</v>
      </c>
      <c r="H9" s="70">
        <f>'P&amp;L'!I9</f>
        <v>0</v>
      </c>
    </row>
    <row r="10" spans="2:9" x14ac:dyDescent="0.2">
      <c r="B10" s="2" t="s">
        <v>212</v>
      </c>
      <c r="C10" s="2"/>
      <c r="D10" s="75">
        <f>SUM(D7:D9)</f>
        <v>2862.5140199999996</v>
      </c>
      <c r="E10" s="75">
        <f>SUM(E7:E9)</f>
        <v>3988.3867439999995</v>
      </c>
      <c r="F10" s="75">
        <f>SUM(F7:F9)</f>
        <v>5751.9890545312492</v>
      </c>
      <c r="G10" s="75">
        <f>SUM(G7:G9)</f>
        <v>6109.0248678524986</v>
      </c>
      <c r="H10" s="75">
        <f>SUM(H7:H9)</f>
        <v>-3110.9574168749991</v>
      </c>
    </row>
    <row r="11" spans="2:9" x14ac:dyDescent="0.2">
      <c r="B11" s="72" t="s">
        <v>213</v>
      </c>
      <c r="C11" s="72"/>
      <c r="D11" s="74">
        <f>D6+D10</f>
        <v>10987.514019999999</v>
      </c>
      <c r="E11" s="74">
        <f>E6+E10</f>
        <v>16642.636743999999</v>
      </c>
      <c r="F11" s="74">
        <f>F6+F10</f>
        <v>24156.494054531246</v>
      </c>
      <c r="G11" s="74">
        <f>G6+G10</f>
        <v>34054.255992852501</v>
      </c>
      <c r="H11" s="74">
        <f>H6+H10</f>
        <v>29233.380444625</v>
      </c>
    </row>
    <row r="12" spans="2:9" s="5" customFormat="1" x14ac:dyDescent="0.2">
      <c r="B12" s="5" t="s">
        <v>213</v>
      </c>
      <c r="D12" s="78">
        <f>D11/D$6</f>
        <v>1.3523094178461537</v>
      </c>
      <c r="E12" s="78">
        <f>E11/E$6</f>
        <v>1.3151815985933579</v>
      </c>
      <c r="F12" s="78">
        <f>F11/F$6</f>
        <v>1.3125315815085083</v>
      </c>
      <c r="G12" s="78">
        <f>G11/G$6</f>
        <v>1.2186070618105329</v>
      </c>
      <c r="H12" s="78">
        <f>H11/H$6</f>
        <v>0.90381755749039383</v>
      </c>
    </row>
    <row r="13" spans="2:9" s="5" customFormat="1" x14ac:dyDescent="0.2">
      <c r="B13" s="51"/>
      <c r="C13" s="51"/>
      <c r="D13" s="76"/>
      <c r="E13" s="76"/>
      <c r="F13" s="76"/>
      <c r="G13" s="76"/>
      <c r="H13" s="76"/>
    </row>
    <row r="14" spans="2:9" x14ac:dyDescent="0.2">
      <c r="B14" s="59" t="s">
        <v>147</v>
      </c>
      <c r="C14" s="59"/>
      <c r="D14" s="145">
        <f>'P&amp;L'!E12</f>
        <v>4200</v>
      </c>
      <c r="E14" s="145">
        <f>'P&amp;L'!F12</f>
        <v>5250</v>
      </c>
      <c r="F14" s="145">
        <f>'P&amp;L'!G12</f>
        <v>7350</v>
      </c>
      <c r="G14" s="145">
        <f>'P&amp;L'!H12</f>
        <v>7350</v>
      </c>
      <c r="H14" s="145">
        <f>'P&amp;L'!I12</f>
        <v>0</v>
      </c>
    </row>
    <row r="15" spans="2:9" x14ac:dyDescent="0.2">
      <c r="B15" s="72" t="s">
        <v>284</v>
      </c>
      <c r="C15" s="72"/>
      <c r="D15" s="74">
        <f>D11+D14</f>
        <v>15187.514019999999</v>
      </c>
      <c r="E15" s="74">
        <f>E11+E14</f>
        <v>21892.636743999999</v>
      </c>
      <c r="F15" s="74">
        <f>F11+F14</f>
        <v>31506.494054531246</v>
      </c>
      <c r="G15" s="74">
        <f>G11+G14</f>
        <v>41404.255992852501</v>
      </c>
      <c r="H15" s="74">
        <f>H11+H14</f>
        <v>29233.380444625</v>
      </c>
    </row>
    <row r="16" spans="2:9" s="5" customFormat="1" x14ac:dyDescent="0.2">
      <c r="B16" s="5" t="s">
        <v>284</v>
      </c>
      <c r="D16" s="77">
        <f>D15/D$6</f>
        <v>1.8692324947692307</v>
      </c>
      <c r="E16" s="77">
        <f>E15/E$6</f>
        <v>1.7300619747515655</v>
      </c>
      <c r="F16" s="77">
        <f>F15/F$6</f>
        <v>1.7118903254682074</v>
      </c>
      <c r="G16" s="77">
        <f>G15/G$6</f>
        <v>1.48162152632232</v>
      </c>
      <c r="H16" s="77">
        <f>H15/H$6</f>
        <v>0.90381755749039383</v>
      </c>
    </row>
    <row r="17" spans="2:9" s="5" customFormat="1" x14ac:dyDescent="0.2">
      <c r="D17" s="77"/>
      <c r="E17" s="77"/>
      <c r="F17" s="77"/>
      <c r="G17" s="77"/>
      <c r="H17" s="77"/>
    </row>
    <row r="18" spans="2:9" x14ac:dyDescent="0.2">
      <c r="B18" t="s">
        <v>285</v>
      </c>
      <c r="D18" s="70">
        <f>'P&amp;L'!E16</f>
        <v>330</v>
      </c>
      <c r="E18" s="70">
        <f>'P&amp;L'!F16</f>
        <v>363.00000000000006</v>
      </c>
      <c r="F18" s="70">
        <f>'P&amp;L'!G16</f>
        <v>399.30000000000007</v>
      </c>
      <c r="G18" s="70">
        <f>'P&amp;L'!H16</f>
        <v>439.23000000000013</v>
      </c>
      <c r="H18" s="70">
        <f>'P&amp;L'!I16</f>
        <v>0</v>
      </c>
    </row>
    <row r="19" spans="2:9" x14ac:dyDescent="0.2">
      <c r="B19" t="s">
        <v>223</v>
      </c>
      <c r="C19" s="4">
        <v>2.5000000000000001E-3</v>
      </c>
      <c r="D19" s="70">
        <f>'P&amp;L'!E11</f>
        <v>253.08500000000001</v>
      </c>
      <c r="E19" s="70">
        <f>'P&amp;L'!F11</f>
        <v>368.09009999999995</v>
      </c>
      <c r="F19" s="70">
        <f>'P&amp;L'!G11</f>
        <v>558.90462249999996</v>
      </c>
      <c r="G19" s="70">
        <f>'P&amp;L'!H11</f>
        <v>646.88675723000006</v>
      </c>
      <c r="H19" s="70">
        <f>'P&amp;L'!I11</f>
        <v>0</v>
      </c>
      <c r="I19" s="79" t="s">
        <v>286</v>
      </c>
    </row>
    <row r="20" spans="2:9" x14ac:dyDescent="0.2">
      <c r="B20" t="s">
        <v>215</v>
      </c>
      <c r="D20" s="70">
        <f>'P&amp;L'!E17</f>
        <v>495.00000000000006</v>
      </c>
      <c r="E20" s="70">
        <f>'P&amp;L'!F17</f>
        <v>544.50000000000011</v>
      </c>
      <c r="F20" s="70">
        <f>'P&amp;L'!G17</f>
        <v>598.95000000000016</v>
      </c>
      <c r="G20" s="70">
        <f>'P&amp;L'!H17</f>
        <v>658.84500000000025</v>
      </c>
      <c r="H20" s="70">
        <f>'P&amp;L'!I17</f>
        <v>0</v>
      </c>
    </row>
    <row r="21" spans="2:9" x14ac:dyDescent="0.2">
      <c r="B21" t="str">
        <f>'Tech &amp; Other costs'!B21</f>
        <v xml:space="preserve">Unexpected costs </v>
      </c>
      <c r="D21" s="70">
        <f>'P&amp;L'!E10</f>
        <v>126.5425</v>
      </c>
      <c r="E21" s="70">
        <f>'P&amp;L'!F10</f>
        <v>184.04504999999997</v>
      </c>
      <c r="F21" s="70">
        <f>'P&amp;L'!G10</f>
        <v>279.45231124999998</v>
      </c>
      <c r="G21" s="70">
        <f>'P&amp;L'!H10</f>
        <v>323.44337861500003</v>
      </c>
      <c r="H21" s="70">
        <f>'P&amp;L'!I10</f>
        <v>0</v>
      </c>
      <c r="I21" s="79" t="s">
        <v>286</v>
      </c>
    </row>
    <row r="22" spans="2:9" s="2" customFormat="1" x14ac:dyDescent="0.2">
      <c r="B22" s="72" t="s">
        <v>216</v>
      </c>
      <c r="C22" s="72"/>
      <c r="D22" s="74">
        <f>SUM(D15,D18:D21)</f>
        <v>16392.141519999997</v>
      </c>
      <c r="E22" s="74">
        <f>SUM(E15,E18:E21)</f>
        <v>23352.271894000001</v>
      </c>
      <c r="F22" s="74">
        <f>SUM(F15,F18:F21)</f>
        <v>33343.100988281243</v>
      </c>
      <c r="G22" s="74">
        <f>SUM(G15,G18:G21)</f>
        <v>43472.661128697502</v>
      </c>
      <c r="H22" s="74">
        <f>SUM(H15,H18:H21)</f>
        <v>29233.380444625</v>
      </c>
    </row>
    <row r="23" spans="2:9" s="51" customFormat="1" x14ac:dyDescent="0.2">
      <c r="B23" s="5" t="s">
        <v>217</v>
      </c>
      <c r="C23" s="5"/>
      <c r="D23" s="78">
        <f>D22/D$6</f>
        <v>2.0174943409230766</v>
      </c>
      <c r="E23" s="78">
        <f>E22/E$6</f>
        <v>1.8454093995298024</v>
      </c>
      <c r="F23" s="78">
        <f>F22/F$6</f>
        <v>1.8116814871294418</v>
      </c>
      <c r="G23" s="78">
        <f>G22/G$6</f>
        <v>1.5556379166893544</v>
      </c>
      <c r="H23" s="78">
        <f>H22/H$6</f>
        <v>0.90381755749039383</v>
      </c>
    </row>
    <row r="24" spans="2:9" s="51" customFormat="1" x14ac:dyDescent="0.2">
      <c r="B24" s="5"/>
      <c r="C24" s="5"/>
      <c r="D24" s="78"/>
      <c r="E24" s="78"/>
      <c r="F24" s="78"/>
      <c r="G24" s="78"/>
      <c r="H24" s="78"/>
    </row>
    <row r="25" spans="2:9" x14ac:dyDescent="0.2">
      <c r="B25" t="s">
        <v>218</v>
      </c>
      <c r="C25">
        <v>30</v>
      </c>
      <c r="D25" s="70">
        <f>'P&amp;L'!E20</f>
        <v>30</v>
      </c>
      <c r="E25" s="70">
        <f>'P&amp;L'!F20</f>
        <v>30</v>
      </c>
      <c r="F25" s="70">
        <f>'P&amp;L'!G20</f>
        <v>30</v>
      </c>
      <c r="G25" s="70">
        <f>'P&amp;L'!H20</f>
        <v>30</v>
      </c>
      <c r="H25" s="70">
        <f>'P&amp;L'!I20</f>
        <v>0</v>
      </c>
    </row>
    <row r="26" spans="2:9" s="2" customFormat="1" x14ac:dyDescent="0.2">
      <c r="B26" s="72" t="s">
        <v>219</v>
      </c>
      <c r="C26" s="72"/>
      <c r="D26" s="74">
        <f>D22+D25</f>
        <v>16422.141519999997</v>
      </c>
      <c r="E26" s="74">
        <f>E22+E25</f>
        <v>23382.271894000001</v>
      </c>
      <c r="F26" s="74">
        <f>F22+F25</f>
        <v>33373.100988281243</v>
      </c>
      <c r="G26" s="74">
        <f>G22+G25</f>
        <v>43502.661128697502</v>
      </c>
      <c r="H26" s="74">
        <f>H22+H25</f>
        <v>29233.380444625</v>
      </c>
    </row>
    <row r="27" spans="2:9" s="5" customFormat="1" x14ac:dyDescent="0.2">
      <c r="B27" s="5" t="s">
        <v>220</v>
      </c>
      <c r="D27" s="78">
        <f>D26/D$6</f>
        <v>2.0211866486153842</v>
      </c>
      <c r="E27" s="78">
        <f>E26/E$6</f>
        <v>1.8477801445364206</v>
      </c>
      <c r="F27" s="78">
        <f>F26/F$6</f>
        <v>1.8133115228190733</v>
      </c>
      <c r="G27" s="78">
        <f>G26/G$6</f>
        <v>1.5567114451159332</v>
      </c>
      <c r="H27" s="78">
        <f>H26/H$6</f>
        <v>0.90381755749039383</v>
      </c>
      <c r="I27" s="140">
        <f>AVERAGE(D27:H27)</f>
        <v>1.6285614637154411</v>
      </c>
    </row>
    <row r="28" spans="2:9" s="5" customFormat="1" x14ac:dyDescent="0.2">
      <c r="D28" s="78"/>
      <c r="E28" s="78"/>
      <c r="F28" s="78"/>
      <c r="G28" s="78"/>
      <c r="H28" s="78"/>
    </row>
    <row r="29" spans="2:9" x14ac:dyDescent="0.2">
      <c r="B29" t="s">
        <v>221</v>
      </c>
      <c r="C29">
        <v>12</v>
      </c>
      <c r="D29" s="70">
        <f>'P&amp;L'!E23</f>
        <v>-120.75</v>
      </c>
      <c r="E29" s="70">
        <f>'P&amp;L'!F23</f>
        <v>-120.75</v>
      </c>
      <c r="F29" s="70">
        <f>'P&amp;L'!G23</f>
        <v>-120.75</v>
      </c>
      <c r="G29" s="70">
        <f>'P&amp;L'!H23</f>
        <v>-120.75</v>
      </c>
      <c r="H29" s="70">
        <f>'P&amp;L'!I23</f>
        <v>0</v>
      </c>
    </row>
    <row r="30" spans="2:9" x14ac:dyDescent="0.2">
      <c r="B30" s="72" t="s">
        <v>222</v>
      </c>
      <c r="C30" s="72"/>
      <c r="D30" s="74">
        <f>D26+D29</f>
        <v>16301.391519999997</v>
      </c>
      <c r="E30" s="74">
        <f>E26+E29</f>
        <v>23261.521894000001</v>
      </c>
      <c r="F30" s="74">
        <f>F26+F29</f>
        <v>33252.350988281243</v>
      </c>
      <c r="G30" s="74">
        <f>G26+G29</f>
        <v>43381.911128697502</v>
      </c>
      <c r="H30" s="74">
        <f>H26+H29</f>
        <v>29233.380444625</v>
      </c>
    </row>
    <row r="31" spans="2:9" s="5" customFormat="1" x14ac:dyDescent="0.2">
      <c r="B31" s="51"/>
      <c r="C31" s="51"/>
      <c r="D31" s="70"/>
      <c r="E31" s="70"/>
      <c r="F31" s="70"/>
      <c r="G31" s="70"/>
      <c r="H31" s="70"/>
    </row>
    <row r="32" spans="2:9" x14ac:dyDescent="0.2">
      <c r="B32" t="s">
        <v>223</v>
      </c>
      <c r="C32" s="48">
        <v>0.25</v>
      </c>
      <c r="D32" s="83">
        <f>-$C$32*D30</f>
        <v>-4075.3478799999993</v>
      </c>
      <c r="E32" s="83">
        <f>-$C$32*E30</f>
        <v>-5815.3804735000003</v>
      </c>
      <c r="F32" s="83">
        <f>-$C$32*F30</f>
        <v>-8313.0877470703108</v>
      </c>
      <c r="G32" s="83">
        <f>-$C$32*G30</f>
        <v>-10845.477782174376</v>
      </c>
      <c r="H32" s="83">
        <f>-$C$32*H30</f>
        <v>-7308.3451111562499</v>
      </c>
    </row>
    <row r="33" spans="2:8" x14ac:dyDescent="0.2">
      <c r="B33" s="72" t="s">
        <v>225</v>
      </c>
      <c r="C33" s="72"/>
      <c r="D33" s="80">
        <f>SUM(D30:D32)</f>
        <v>12226.043639999998</v>
      </c>
      <c r="E33" s="80">
        <f>SUM(E30:E32)</f>
        <v>17446.1414205</v>
      </c>
      <c r="F33" s="80">
        <f>SUM(F30:F32)</f>
        <v>24939.263241210931</v>
      </c>
      <c r="G33" s="80">
        <f>SUM(G30:G32)</f>
        <v>32536.433346523125</v>
      </c>
      <c r="H33" s="80">
        <f>SUM(H30:H32)</f>
        <v>21925.03533346875</v>
      </c>
    </row>
    <row r="34" spans="2:8" s="5" customFormat="1" x14ac:dyDescent="0.2">
      <c r="B34" s="51"/>
      <c r="C34" s="51"/>
      <c r="D34" s="75"/>
      <c r="E34" s="75"/>
      <c r="F34" s="75"/>
      <c r="G34" s="75"/>
      <c r="H34" s="75"/>
    </row>
    <row r="35" spans="2:8" x14ac:dyDescent="0.2">
      <c r="B35" s="126" t="s">
        <v>291</v>
      </c>
      <c r="C35" s="127">
        <f>AVERAGE(D35:H35)</f>
        <v>1.2161282528844424</v>
      </c>
      <c r="D35" s="104">
        <f>D33/D6</f>
        <v>1.5047438326153844</v>
      </c>
      <c r="E35" s="104">
        <f t="shared" ref="E35:H35" si="0">E33/E6</f>
        <v>1.3786784219135864</v>
      </c>
      <c r="F35" s="104">
        <f t="shared" si="0"/>
        <v>1.3550629718762299</v>
      </c>
      <c r="G35" s="104">
        <f t="shared" si="0"/>
        <v>1.1642928698992152</v>
      </c>
      <c r="H35" s="104">
        <f t="shared" si="0"/>
        <v>0.67786316811779546</v>
      </c>
    </row>
    <row r="36" spans="2:8" x14ac:dyDescent="0.2">
      <c r="B36" s="126" t="s">
        <v>35</v>
      </c>
      <c r="C36" s="128">
        <f>NPV(Cockpit!E28,D33:H33)</f>
        <v>69724.530909807654</v>
      </c>
    </row>
    <row r="38" spans="2:8" x14ac:dyDescent="0.2">
      <c r="D38" s="83"/>
      <c r="E38" s="83"/>
      <c r="F38" s="83"/>
      <c r="G38" s="83"/>
      <c r="H38" s="83"/>
    </row>
    <row r="39" spans="2:8" x14ac:dyDescent="0.2">
      <c r="D39" s="105"/>
      <c r="E39" s="105"/>
      <c r="F39" s="105"/>
      <c r="G39" s="105"/>
      <c r="H39" s="10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Drop Down 1">
              <controlPr defaultSize="0" autoLine="0" autoPict="0">
                <anchor moveWithCells="1">
                  <from>
                    <xdr:col>1</xdr:col>
                    <xdr:colOff>736600</xdr:colOff>
                    <xdr:row>0</xdr:row>
                    <xdr:rowOff>25400</xdr:rowOff>
                  </from>
                  <to>
                    <xdr:col>1</xdr:col>
                    <xdr:colOff>1727200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Drop Down 2">
              <controlPr defaultSize="0" autoLine="0" autoPict="0">
                <anchor moveWithCells="1">
                  <from>
                    <xdr:col>1</xdr:col>
                    <xdr:colOff>1879600</xdr:colOff>
                    <xdr:row>0</xdr:row>
                    <xdr:rowOff>25400</xdr:rowOff>
                  </from>
                  <to>
                    <xdr:col>3</xdr:col>
                    <xdr:colOff>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FFFF00"/>
  </sheetPr>
  <dimension ref="B1:I38"/>
  <sheetViews>
    <sheetView showGridLines="0" zoomScale="160" zoomScaleNormal="160" workbookViewId="0">
      <pane ySplit="1" topLeftCell="A23" activePane="bottomLeft" state="frozen"/>
      <selection activeCell="F18" sqref="F18"/>
      <selection pane="bottomLeft" activeCell="B36" sqref="B36"/>
    </sheetView>
  </sheetViews>
  <sheetFormatPr baseColWidth="10" defaultColWidth="11.1640625" defaultRowHeight="16" x14ac:dyDescent="0.2"/>
  <cols>
    <col min="1" max="1" width="8" customWidth="1"/>
    <col min="2" max="2" width="37.6640625" customWidth="1"/>
    <col min="3" max="3" width="8.6640625" customWidth="1"/>
    <col min="4" max="4" width="11.1640625" bestFit="1" customWidth="1"/>
  </cols>
  <sheetData>
    <row r="1" spans="2:9" s="58" customFormat="1" ht="23.5" customHeight="1" x14ac:dyDescent="0.2">
      <c r="B1" s="62" t="s">
        <v>280</v>
      </c>
      <c r="C1" s="60"/>
      <c r="D1" s="58">
        <f>Cockpit!B18</f>
        <v>2025</v>
      </c>
      <c r="E1" s="58">
        <f>D1+1</f>
        <v>2026</v>
      </c>
      <c r="F1" s="58">
        <f>E1+1</f>
        <v>2027</v>
      </c>
      <c r="G1" s="58">
        <f>F1+1</f>
        <v>2028</v>
      </c>
      <c r="H1" s="58">
        <f>G1+1</f>
        <v>2029</v>
      </c>
      <c r="I1" s="61"/>
    </row>
    <row r="2" spans="2:9" x14ac:dyDescent="0.2">
      <c r="B2" s="2" t="s">
        <v>281</v>
      </c>
    </row>
    <row r="3" spans="2:9" x14ac:dyDescent="0.2">
      <c r="B3" t="s">
        <v>282</v>
      </c>
    </row>
    <row r="4" spans="2:9" s="5" customFormat="1" x14ac:dyDescent="0.2">
      <c r="D4" s="70"/>
      <c r="E4" s="70"/>
      <c r="F4" s="70"/>
      <c r="G4" s="70"/>
      <c r="H4" s="70"/>
    </row>
    <row r="5" spans="2:9" s="5" customFormat="1" x14ac:dyDescent="0.2">
      <c r="D5" s="70"/>
      <c r="E5" s="70"/>
      <c r="F5" s="70"/>
      <c r="G5" s="70"/>
      <c r="H5" s="70"/>
    </row>
    <row r="6" spans="2:9" s="51" customFormat="1" x14ac:dyDescent="0.2">
      <c r="B6" s="72" t="s">
        <v>207</v>
      </c>
      <c r="C6" s="72"/>
      <c r="D6" s="73">
        <f>Revenue!D17</f>
        <v>8125</v>
      </c>
      <c r="E6" s="73">
        <f>Revenue!E17</f>
        <v>12654.25</v>
      </c>
      <c r="F6" s="73">
        <f>Revenue!F17</f>
        <v>18404.504999999997</v>
      </c>
      <c r="G6" s="73">
        <f>Revenue!G17</f>
        <v>27945.231124999998</v>
      </c>
      <c r="H6" s="73">
        <f>Revenue!H17</f>
        <v>32344.3378615</v>
      </c>
    </row>
    <row r="7" spans="2:9" x14ac:dyDescent="0.2">
      <c r="B7" t="s">
        <v>20</v>
      </c>
      <c r="D7" s="70">
        <f>'P&amp;L'!E7</f>
        <v>891.25575000000015</v>
      </c>
      <c r="E7" s="70">
        <f>'P&amp;L'!F7</f>
        <v>1445.0031749999998</v>
      </c>
      <c r="F7" s="70">
        <f>'P&amp;L'!G7</f>
        <v>2434.6623262499998</v>
      </c>
      <c r="G7" s="70">
        <f>'P&amp;L'!H7</f>
        <v>3110.9574168749991</v>
      </c>
      <c r="H7" s="70">
        <f>'P&amp;L'!I7</f>
        <v>0</v>
      </c>
    </row>
    <row r="8" spans="2:9" x14ac:dyDescent="0.2">
      <c r="B8" t="s">
        <v>283</v>
      </c>
      <c r="D8" s="70">
        <f>'P&amp;L'!E8</f>
        <v>968.83901999999978</v>
      </c>
      <c r="E8" s="70">
        <f>'P&amp;L'!F8</f>
        <v>1324.0799939999997</v>
      </c>
      <c r="F8" s="70">
        <f>'P&amp;L'!G8</f>
        <v>1727.2141045312492</v>
      </c>
      <c r="G8" s="70">
        <f>'P&amp;L'!H8</f>
        <v>2162.2793816024987</v>
      </c>
      <c r="H8" s="70">
        <f>'P&amp;L'!I8</f>
        <v>0</v>
      </c>
    </row>
    <row r="9" spans="2:9" x14ac:dyDescent="0.2">
      <c r="B9" t="s">
        <v>118</v>
      </c>
      <c r="D9" s="70">
        <f>'P&amp;L'!E9</f>
        <v>2401.875</v>
      </c>
      <c r="E9" s="70">
        <f>'P&amp;L'!F9</f>
        <v>3555.5625</v>
      </c>
      <c r="F9" s="70">
        <f>'P&amp;L'!G9</f>
        <v>5469.7781249999998</v>
      </c>
      <c r="G9" s="70">
        <f>'P&amp;L'!H9</f>
        <v>6381.4078124999996</v>
      </c>
      <c r="H9" s="70">
        <f>'P&amp;L'!I9</f>
        <v>0</v>
      </c>
    </row>
    <row r="10" spans="2:9" x14ac:dyDescent="0.2">
      <c r="B10" s="2" t="s">
        <v>212</v>
      </c>
      <c r="C10" s="2"/>
      <c r="D10" s="75">
        <f>SUM(D7:D9)</f>
        <v>4261.9697699999997</v>
      </c>
      <c r="E10" s="75">
        <f>SUM(E7:E9)</f>
        <v>6324.6456689999995</v>
      </c>
      <c r="F10" s="75">
        <f>SUM(F7:F9)</f>
        <v>9631.6545557812497</v>
      </c>
      <c r="G10" s="75">
        <f>SUM(G7:G9)</f>
        <v>11654.644610977497</v>
      </c>
      <c r="H10" s="75">
        <f>SUM(H7:H9)</f>
        <v>0</v>
      </c>
    </row>
    <row r="11" spans="2:9" x14ac:dyDescent="0.2">
      <c r="B11" s="72" t="s">
        <v>213</v>
      </c>
      <c r="C11" s="72"/>
      <c r="D11" s="74">
        <f>D6+D10</f>
        <v>12386.96977</v>
      </c>
      <c r="E11" s="74">
        <f>E6+E10</f>
        <v>18978.895668999998</v>
      </c>
      <c r="F11" s="74">
        <f>F6+F10</f>
        <v>28036.159555781247</v>
      </c>
      <c r="G11" s="74">
        <f>G6+G10</f>
        <v>39599.875735977497</v>
      </c>
      <c r="H11" s="74">
        <f>H6+H10</f>
        <v>32344.3378615</v>
      </c>
    </row>
    <row r="12" spans="2:9" s="5" customFormat="1" x14ac:dyDescent="0.2">
      <c r="B12" s="5" t="s">
        <v>213</v>
      </c>
      <c r="D12" s="78">
        <f>D11/D$6</f>
        <v>1.5245501255384615</v>
      </c>
      <c r="E12" s="78">
        <f>E11/E$6</f>
        <v>1.4998040712803997</v>
      </c>
      <c r="F12" s="78">
        <f>F11/F$6</f>
        <v>1.5233313558708181</v>
      </c>
      <c r="G12" s="78">
        <f>G11/G$6</f>
        <v>1.4170530763852289</v>
      </c>
      <c r="H12" s="78">
        <f>H11/H$6</f>
        <v>1</v>
      </c>
    </row>
    <row r="13" spans="2:9" s="5" customFormat="1" x14ac:dyDescent="0.2">
      <c r="B13" s="51"/>
      <c r="C13" s="51"/>
      <c r="D13" s="76"/>
      <c r="E13" s="76"/>
      <c r="F13" s="76"/>
      <c r="G13" s="76"/>
      <c r="H13" s="76"/>
    </row>
    <row r="14" spans="2:9" x14ac:dyDescent="0.2">
      <c r="B14" t="s">
        <v>147</v>
      </c>
      <c r="D14" s="70">
        <f>'P&amp;L'!E12</f>
        <v>4200</v>
      </c>
      <c r="E14" s="70">
        <f>'P&amp;L'!F12</f>
        <v>5250</v>
      </c>
      <c r="F14" s="70">
        <f>'P&amp;L'!G12</f>
        <v>7350</v>
      </c>
      <c r="G14" s="70">
        <f>'P&amp;L'!H12</f>
        <v>7350</v>
      </c>
      <c r="H14" s="70">
        <f>'P&amp;L'!I12</f>
        <v>0</v>
      </c>
    </row>
    <row r="15" spans="2:9" x14ac:dyDescent="0.2">
      <c r="B15" s="72" t="s">
        <v>284</v>
      </c>
      <c r="C15" s="72"/>
      <c r="D15" s="74">
        <f>D11+D14</f>
        <v>16586.96977</v>
      </c>
      <c r="E15" s="74">
        <f>E11+E14</f>
        <v>24228.895668999998</v>
      </c>
      <c r="F15" s="74">
        <f>F11+F14</f>
        <v>35386.159555781247</v>
      </c>
      <c r="G15" s="74">
        <f>G11+G14</f>
        <v>46949.875735977497</v>
      </c>
      <c r="H15" s="74">
        <f>H11+H14</f>
        <v>32344.3378615</v>
      </c>
    </row>
    <row r="16" spans="2:9" s="5" customFormat="1" x14ac:dyDescent="0.2">
      <c r="B16" s="5" t="s">
        <v>284</v>
      </c>
      <c r="D16" s="77">
        <f>D15/D$6</f>
        <v>2.0414732024615385</v>
      </c>
      <c r="E16" s="77">
        <f>E15/E$6</f>
        <v>1.9146844474386073</v>
      </c>
      <c r="F16" s="77">
        <f>F15/F$6</f>
        <v>1.9226900998305172</v>
      </c>
      <c r="G16" s="77">
        <f>G15/G$6</f>
        <v>1.6800675408970158</v>
      </c>
      <c r="H16" s="77">
        <f>H15/H$6</f>
        <v>1</v>
      </c>
    </row>
    <row r="17" spans="2:9" s="5" customFormat="1" x14ac:dyDescent="0.2">
      <c r="D17" s="77"/>
      <c r="E17" s="77"/>
      <c r="F17" s="77"/>
      <c r="G17" s="77"/>
      <c r="H17" s="77"/>
    </row>
    <row r="18" spans="2:9" x14ac:dyDescent="0.2">
      <c r="B18" t="s">
        <v>285</v>
      </c>
      <c r="D18" s="70">
        <f>'P&amp;L'!E16</f>
        <v>330</v>
      </c>
      <c r="E18" s="70">
        <f>'P&amp;L'!F16</f>
        <v>363.00000000000006</v>
      </c>
      <c r="F18" s="70">
        <f>'P&amp;L'!G16</f>
        <v>399.30000000000007</v>
      </c>
      <c r="G18" s="70">
        <f>'P&amp;L'!H16</f>
        <v>439.23000000000013</v>
      </c>
      <c r="H18" s="70">
        <f>'P&amp;L'!I16</f>
        <v>0</v>
      </c>
    </row>
    <row r="19" spans="2:9" x14ac:dyDescent="0.2">
      <c r="B19" t="s">
        <v>223</v>
      </c>
      <c r="C19" s="147"/>
      <c r="D19" s="145" t="e">
        <f>-#REF!</f>
        <v>#REF!</v>
      </c>
      <c r="E19" s="145" t="e">
        <f>-#REF!</f>
        <v>#REF!</v>
      </c>
      <c r="F19" s="145" t="e">
        <f>-#REF!</f>
        <v>#REF!</v>
      </c>
      <c r="G19" s="145" t="e">
        <f>-#REF!</f>
        <v>#REF!</v>
      </c>
      <c r="H19" s="145" t="e">
        <f>-#REF!</f>
        <v>#REF!</v>
      </c>
      <c r="I19" s="79" t="s">
        <v>286</v>
      </c>
    </row>
    <row r="20" spans="2:9" x14ac:dyDescent="0.2">
      <c r="B20" t="s">
        <v>215</v>
      </c>
      <c r="D20" s="70">
        <f>'P&amp;L'!E17</f>
        <v>495.00000000000006</v>
      </c>
      <c r="E20" s="70">
        <f>'P&amp;L'!F17</f>
        <v>544.50000000000011</v>
      </c>
      <c r="F20" s="70">
        <f>'P&amp;L'!G17</f>
        <v>598.95000000000016</v>
      </c>
      <c r="G20" s="70">
        <f>'P&amp;L'!H17</f>
        <v>658.84500000000025</v>
      </c>
      <c r="H20" s="70">
        <f>'P&amp;L'!I17</f>
        <v>0</v>
      </c>
    </row>
    <row r="21" spans="2:9" x14ac:dyDescent="0.2">
      <c r="B21" t="str">
        <f>'Tech &amp; Other costs'!B21</f>
        <v xml:space="preserve">Unexpected costs </v>
      </c>
      <c r="D21" s="70">
        <f>'P&amp;L'!E10</f>
        <v>126.5425</v>
      </c>
      <c r="E21" s="70">
        <f>'P&amp;L'!F10</f>
        <v>184.04504999999997</v>
      </c>
      <c r="F21" s="70">
        <f>'P&amp;L'!G10</f>
        <v>279.45231124999998</v>
      </c>
      <c r="G21" s="70">
        <f>'P&amp;L'!H10</f>
        <v>323.44337861500003</v>
      </c>
      <c r="H21" s="70">
        <f>'P&amp;L'!I10</f>
        <v>0</v>
      </c>
      <c r="I21" s="79" t="s">
        <v>286</v>
      </c>
    </row>
    <row r="22" spans="2:9" s="2" customFormat="1" x14ac:dyDescent="0.2">
      <c r="B22" s="72" t="s">
        <v>216</v>
      </c>
      <c r="C22" s="72"/>
      <c r="D22" s="74" t="e">
        <f>SUM(D15,D18:D21)</f>
        <v>#REF!</v>
      </c>
      <c r="E22" s="74" t="e">
        <f>SUM(E15,E18:E21)</f>
        <v>#REF!</v>
      </c>
      <c r="F22" s="74" t="e">
        <f>SUM(F15,F18:F21)</f>
        <v>#REF!</v>
      </c>
      <c r="G22" s="74" t="e">
        <f>SUM(G15,G18:G21)</f>
        <v>#REF!</v>
      </c>
      <c r="H22" s="74" t="e">
        <f>SUM(H15,H18:H21)</f>
        <v>#REF!</v>
      </c>
    </row>
    <row r="23" spans="2:9" s="51" customFormat="1" x14ac:dyDescent="0.2">
      <c r="B23" s="5" t="s">
        <v>217</v>
      </c>
      <c r="C23" s="5"/>
      <c r="D23" s="78" t="e">
        <f>D22/D$6</f>
        <v>#REF!</v>
      </c>
      <c r="E23" s="78" t="e">
        <f>E22/E$6</f>
        <v>#REF!</v>
      </c>
      <c r="F23" s="78" t="e">
        <f>F22/F$6</f>
        <v>#REF!</v>
      </c>
      <c r="G23" s="78" t="e">
        <f>G22/G$6</f>
        <v>#REF!</v>
      </c>
      <c r="H23" s="78" t="e">
        <f>H22/H$6</f>
        <v>#REF!</v>
      </c>
    </row>
    <row r="24" spans="2:9" s="51" customFormat="1" x14ac:dyDescent="0.2">
      <c r="B24" s="5"/>
      <c r="C24" s="5"/>
      <c r="D24" s="78"/>
      <c r="E24" s="78"/>
      <c r="F24" s="78"/>
      <c r="G24" s="78"/>
      <c r="H24" s="78"/>
    </row>
    <row r="25" spans="2:9" x14ac:dyDescent="0.2">
      <c r="B25" t="s">
        <v>218</v>
      </c>
      <c r="C25">
        <v>30</v>
      </c>
      <c r="D25" s="70">
        <f>'P&amp;L'!E20</f>
        <v>30</v>
      </c>
      <c r="E25" s="70">
        <f>'P&amp;L'!F20</f>
        <v>30</v>
      </c>
      <c r="F25" s="70">
        <f>'P&amp;L'!G20</f>
        <v>30</v>
      </c>
      <c r="G25" s="70">
        <f>'P&amp;L'!H20</f>
        <v>30</v>
      </c>
      <c r="H25" s="70">
        <f>'P&amp;L'!I20</f>
        <v>0</v>
      </c>
    </row>
    <row r="26" spans="2:9" s="2" customFormat="1" x14ac:dyDescent="0.2">
      <c r="B26" s="72" t="s">
        <v>219</v>
      </c>
      <c r="C26" s="72"/>
      <c r="D26" s="74" t="e">
        <f>D22+D25</f>
        <v>#REF!</v>
      </c>
      <c r="E26" s="74" t="e">
        <f>E22+E25</f>
        <v>#REF!</v>
      </c>
      <c r="F26" s="74" t="e">
        <f>F22+F25</f>
        <v>#REF!</v>
      </c>
      <c r="G26" s="74" t="e">
        <f>G22+G25</f>
        <v>#REF!</v>
      </c>
      <c r="H26" s="74" t="e">
        <f>H22+H25</f>
        <v>#REF!</v>
      </c>
      <c r="I26" s="142" t="e">
        <f>SUM(D26:H26)/SUM(D6:H6)</f>
        <v>#REF!</v>
      </c>
    </row>
    <row r="27" spans="2:9" s="5" customFormat="1" x14ac:dyDescent="0.2">
      <c r="B27" s="5" t="s">
        <v>220</v>
      </c>
      <c r="D27" s="78" t="e">
        <f>D26/D$6</f>
        <v>#REF!</v>
      </c>
      <c r="E27" s="78" t="e">
        <f>E26/E$6</f>
        <v>#REF!</v>
      </c>
      <c r="F27" s="78" t="e">
        <f>F26/F$6</f>
        <v>#REF!</v>
      </c>
      <c r="G27" s="78" t="e">
        <f>G26/G$6</f>
        <v>#REF!</v>
      </c>
      <c r="H27" s="78" t="e">
        <f>H26/H$6</f>
        <v>#REF!</v>
      </c>
      <c r="I27" s="141" t="e">
        <f>AVERAGE(D27:H27)</f>
        <v>#REF!</v>
      </c>
    </row>
    <row r="28" spans="2:9" s="5" customFormat="1" x14ac:dyDescent="0.2">
      <c r="D28" s="78"/>
      <c r="E28" s="78"/>
      <c r="F28" s="78"/>
      <c r="G28" s="78"/>
      <c r="H28" s="78"/>
    </row>
    <row r="29" spans="2:9" x14ac:dyDescent="0.2">
      <c r="B29" t="s">
        <v>221</v>
      </c>
      <c r="C29">
        <v>12</v>
      </c>
      <c r="D29" s="70">
        <f>'P&amp;L'!E23</f>
        <v>-120.75</v>
      </c>
      <c r="E29" s="70">
        <f>'P&amp;L'!F23</f>
        <v>-120.75</v>
      </c>
      <c r="F29" s="70">
        <f>'P&amp;L'!G23</f>
        <v>-120.75</v>
      </c>
      <c r="G29" s="70">
        <f>'P&amp;L'!H23</f>
        <v>-120.75</v>
      </c>
      <c r="H29" s="70">
        <f>'P&amp;L'!I23</f>
        <v>0</v>
      </c>
    </row>
    <row r="30" spans="2:9" x14ac:dyDescent="0.2">
      <c r="B30" s="72" t="s">
        <v>222</v>
      </c>
      <c r="C30" s="72"/>
      <c r="D30" s="74" t="e">
        <f>D26+D29</f>
        <v>#REF!</v>
      </c>
      <c r="E30" s="74" t="e">
        <f>E26+E29</f>
        <v>#REF!</v>
      </c>
      <c r="F30" s="74" t="e">
        <f>F26+F29</f>
        <v>#REF!</v>
      </c>
      <c r="G30" s="74" t="e">
        <f>G26+G29</f>
        <v>#REF!</v>
      </c>
      <c r="H30" s="74" t="e">
        <f>H26+H29</f>
        <v>#REF!</v>
      </c>
    </row>
    <row r="31" spans="2:9" s="5" customFormat="1" x14ac:dyDescent="0.2">
      <c r="B31" s="51"/>
      <c r="C31" s="51"/>
      <c r="D31" s="70"/>
      <c r="E31" s="70"/>
      <c r="F31" s="70"/>
      <c r="G31" s="70"/>
      <c r="H31" s="70"/>
    </row>
    <row r="32" spans="2:9" x14ac:dyDescent="0.2">
      <c r="B32" t="s">
        <v>223</v>
      </c>
      <c r="C32" s="48">
        <f>Cockpit!E29</f>
        <v>0.25</v>
      </c>
      <c r="D32" s="83" t="e">
        <f>-$C$32*D30</f>
        <v>#REF!</v>
      </c>
      <c r="E32" s="83" t="e">
        <f>-$C$32*E30</f>
        <v>#REF!</v>
      </c>
      <c r="F32" s="83" t="e">
        <f>-$C$32*F30</f>
        <v>#REF!</v>
      </c>
      <c r="G32" s="83" t="e">
        <f>-$C$32*G30</f>
        <v>#REF!</v>
      </c>
      <c r="H32" s="83" t="e">
        <f>-$C$32*H30</f>
        <v>#REF!</v>
      </c>
    </row>
    <row r="33" spans="2:8" x14ac:dyDescent="0.2">
      <c r="B33" s="72" t="s">
        <v>225</v>
      </c>
      <c r="C33" s="72"/>
      <c r="D33" s="80" t="e">
        <f>SUM(D30:D32)</f>
        <v>#REF!</v>
      </c>
      <c r="E33" s="80" t="e">
        <f>SUM(E30:E32)</f>
        <v>#REF!</v>
      </c>
      <c r="F33" s="80" t="e">
        <f>SUM(F30:F32)</f>
        <v>#REF!</v>
      </c>
      <c r="G33" s="80" t="e">
        <f>SUM(G30:G32)</f>
        <v>#REF!</v>
      </c>
      <c r="H33" s="80" t="e">
        <f>SUM(H30:H32)</f>
        <v>#REF!</v>
      </c>
    </row>
    <row r="35" spans="2:8" x14ac:dyDescent="0.2">
      <c r="B35" t="s">
        <v>291</v>
      </c>
      <c r="C35" s="139" t="e">
        <f>AVERAGE(D35:H35)</f>
        <v>#REF!</v>
      </c>
      <c r="D35" s="104" t="e">
        <f>D33/D6</f>
        <v>#REF!</v>
      </c>
      <c r="E35" s="104" t="e">
        <f>E33/E6</f>
        <v>#REF!</v>
      </c>
      <c r="F35" s="104" t="e">
        <f>F33/F6</f>
        <v>#REF!</v>
      </c>
      <c r="G35" s="104" t="e">
        <f>G33/G6</f>
        <v>#REF!</v>
      </c>
      <c r="H35" s="104" t="e">
        <f>H33/H6</f>
        <v>#REF!</v>
      </c>
    </row>
    <row r="36" spans="2:8" x14ac:dyDescent="0.2">
      <c r="B36" t="s">
        <v>35</v>
      </c>
      <c r="C36" s="148" t="e">
        <f>NPV(Cockpit!E28,'3.P&amp;L regul'!D33:H33)</f>
        <v>#REF!</v>
      </c>
    </row>
    <row r="37" spans="2:8" x14ac:dyDescent="0.2">
      <c r="D37" s="83"/>
      <c r="E37" s="83"/>
      <c r="F37" s="83"/>
      <c r="G37" s="83"/>
      <c r="H37" s="83"/>
    </row>
    <row r="38" spans="2:8" x14ac:dyDescent="0.2">
      <c r="D38" s="105"/>
      <c r="E38" s="105"/>
      <c r="F38" s="105"/>
      <c r="G38" s="105"/>
      <c r="H38" s="10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Drop Down 1">
              <controlPr defaultSize="0" autoLine="0" autoPict="0">
                <anchor moveWithCells="1">
                  <from>
                    <xdr:col>1</xdr:col>
                    <xdr:colOff>1054100</xdr:colOff>
                    <xdr:row>0</xdr:row>
                    <xdr:rowOff>25400</xdr:rowOff>
                  </from>
                  <to>
                    <xdr:col>1</xdr:col>
                    <xdr:colOff>2108200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Drop Down 2">
              <controlPr defaultSize="0" autoLine="0" autoPict="0">
                <anchor moveWithCells="1">
                  <from>
                    <xdr:col>1</xdr:col>
                    <xdr:colOff>2184400</xdr:colOff>
                    <xdr:row>0</xdr:row>
                    <xdr:rowOff>38100</xdr:rowOff>
                  </from>
                  <to>
                    <xdr:col>2</xdr:col>
                    <xdr:colOff>444500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Drop Down 3">
              <controlPr defaultSize="0" autoLine="0" autoPict="0">
                <anchor moveWithCells="1">
                  <from>
                    <xdr:col>1</xdr:col>
                    <xdr:colOff>2146300</xdr:colOff>
                    <xdr:row>1</xdr:row>
                    <xdr:rowOff>139700</xdr:rowOff>
                  </from>
                  <to>
                    <xdr:col>3</xdr:col>
                    <xdr:colOff>622300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"/>
  <sheetViews>
    <sheetView workbookViewId="0"/>
  </sheetViews>
  <sheetFormatPr baseColWidth="10" defaultColWidth="8.83203125" defaultRowHeight="16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F2D46DFCC1CB940AE35D6404023CFEF" ma:contentTypeVersion="18" ma:contentTypeDescription="Crée un document." ma:contentTypeScope="" ma:versionID="57c81002134b6b58cac0ff43bcf0a254">
  <xsd:schema xmlns:xsd="http://www.w3.org/2001/XMLSchema" xmlns:xs="http://www.w3.org/2001/XMLSchema" xmlns:p="http://schemas.microsoft.com/office/2006/metadata/properties" xmlns:ns3="375accfd-1386-4e79-9b46-dd3aa418e0c2" xmlns:ns4="0219ad6e-57f2-430b-a3c2-15fca8b8ee2e" targetNamespace="http://schemas.microsoft.com/office/2006/metadata/properties" ma:root="true" ma:fieldsID="5995c254f60df7d724aed17b20906724" ns3:_="" ns4:_="">
    <xsd:import namespace="375accfd-1386-4e79-9b46-dd3aa418e0c2"/>
    <xsd:import namespace="0219ad6e-57f2-430b-a3c2-15fca8b8ee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5accfd-1386-4e79-9b46-dd3aa418e0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19ad6e-57f2-430b-a3c2-15fca8b8ee2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75accfd-1386-4e79-9b46-dd3aa418e0c2" xsi:nil="true"/>
  </documentManagement>
</p:properties>
</file>

<file path=customXml/itemProps1.xml><?xml version="1.0" encoding="utf-8"?>
<ds:datastoreItem xmlns:ds="http://schemas.openxmlformats.org/officeDocument/2006/customXml" ds:itemID="{9A208F27-C4BB-44A8-85B3-E94C92181B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914096-C5DF-427C-A81B-BDC48E0403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5accfd-1386-4e79-9b46-dd3aa418e0c2"/>
    <ds:schemaRef ds:uri="0219ad6e-57f2-430b-a3c2-15fca8b8ee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29CE277-D01C-4202-9EDE-DAABD389CDF6}">
  <ds:schemaRefs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0219ad6e-57f2-430b-a3c2-15fca8b8ee2e"/>
    <ds:schemaRef ds:uri="375accfd-1386-4e79-9b46-dd3aa418e0c2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Agenda</vt:lpstr>
      <vt:lpstr>Cockpit</vt:lpstr>
      <vt:lpstr>Revenue</vt:lpstr>
      <vt:lpstr>Fuel</vt:lpstr>
      <vt:lpstr>Crew</vt:lpstr>
      <vt:lpstr>Leasing</vt:lpstr>
      <vt:lpstr>Tech &amp; Other costs</vt:lpstr>
      <vt:lpstr>CAPEX</vt:lpstr>
      <vt:lpstr>WCR</vt:lpstr>
      <vt:lpstr>Fundings</vt:lpstr>
      <vt:lpstr>P&amp;L</vt:lpstr>
      <vt:lpstr>Feuil1</vt:lpstr>
      <vt:lpstr>Break Even</vt:lpstr>
      <vt:lpstr>Cash Flows</vt:lpstr>
      <vt:lpstr>Balance Sheet</vt:lpstr>
      <vt:lpstr>1.P&amp;L fuel risk</vt:lpstr>
      <vt:lpstr>2.P&amp;L FX</vt:lpstr>
      <vt:lpstr>3.P&amp;L regul</vt:lpstr>
      <vt:lpstr>4.Risk scenarios simultaneously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DADHICH Vasudev</cp:lastModifiedBy>
  <cp:revision/>
  <dcterms:created xsi:type="dcterms:W3CDTF">2023-06-09T08:36:26Z</dcterms:created>
  <dcterms:modified xsi:type="dcterms:W3CDTF">2024-10-31T14:26:08Z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0x010100BF2D46DFCC1CB940AE35D6404023CFEF</vt:lpwstr>
  </property>
</Properties>
</file>